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jheath_stanford_edu/Documents/nonsense/sewing/singer4452-speed-controller/"/>
    </mc:Choice>
  </mc:AlternateContent>
  <xr:revisionPtr revIDLastSave="994" documentId="8_{CF98681D-D789-4D86-96CC-69D7BE0CF994}" xr6:coauthVersionLast="47" xr6:coauthVersionMax="47" xr10:uidLastSave="{D2771B9F-547E-406E-B254-E15119571F8D}"/>
  <bookViews>
    <workbookView xWindow="16080" yWindow="1935" windowWidth="29760" windowHeight="19035" xr2:uid="{55063511-F0A8-42A5-8409-EFE34AF8E3D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</calcChain>
</file>

<file path=xl/sharedStrings.xml><?xml version="1.0" encoding="utf-8"?>
<sst xmlns="http://schemas.openxmlformats.org/spreadsheetml/2006/main" count="110" uniqueCount="96">
  <si>
    <t>MFG</t>
  </si>
  <si>
    <t>Supplier</t>
  </si>
  <si>
    <t>Link</t>
  </si>
  <si>
    <t>Description</t>
  </si>
  <si>
    <t>Notes</t>
  </si>
  <si>
    <t>Digikey</t>
  </si>
  <si>
    <t>Feautures</t>
  </si>
  <si>
    <t xml:space="preserve">Bluetooth On/Off mechanical switch. </t>
  </si>
  <si>
    <t>volume control</t>
  </si>
  <si>
    <t>noise cancellation control?</t>
  </si>
  <si>
    <t xml:space="preserve">Swappable battery - recharge battery externally. </t>
  </si>
  <si>
    <t>Lite-On Inc.</t>
  </si>
  <si>
    <t>Isolated Zero Crossing Detector</t>
  </si>
  <si>
    <t>Allegro Microsystems</t>
  </si>
  <si>
    <t>Current Sensor (If implementing current feedback)</t>
  </si>
  <si>
    <t>L1000 Potentiometer Foot Pedals</t>
  </si>
  <si>
    <t>The SSC Controls Company</t>
  </si>
  <si>
    <t>1kOhm Pot Foot Pedal</t>
  </si>
  <si>
    <t>https://ssccontrols.com/product/l1000-potentiometer-foot-pedals/?srsltid=AfmBOoqsr6aOKZsohCI9cj2Y0A9bZh-WNVlewUzPr7vM35dKn4nZnCqYjzM</t>
  </si>
  <si>
    <t>Foot Pedal Power Cord Replacement for Singer Sewing Machine, D Shape Plug Compatible with Singer 4452 4432 4423 4411 5554 5532 5523 5511 m1150 m1500 m2100(359102-001)</t>
  </si>
  <si>
    <t>NA</t>
  </si>
  <si>
    <t>POANES</t>
  </si>
  <si>
    <t>Amazon</t>
  </si>
  <si>
    <t>https://www.amazon.com/POANES-Replacement-Machine-Compatible-359102-001/dp/B0C5MBTQH7/ref=sr_1_5?crid=GOTZ1LX0K8LA&amp;dib=eyJ2IjoiMSJ9.Lx4kAURc9eP1leE_Ab4YPMODSA1pn48UR6GUiCNIvqDMUg3aIRS4Ws8lwTLYFTRmxlR2fAM4eooUVmJ6QpGgPnD4nXzPJeUURCMYxhxI7pQfBf6CMzm-AUaZ8g39RFNUkcanrcyHaNyHoLmD7bDlCXmre6yqEVO5nHJRl0cHYYEgcHo8B461EIPEpFaJaHA_DlDE22YtU2cAU8uRA0jthnvV5MOS25yayf6i9Us1OQPm0iyFh21N82wXPgVniIz_jlM93na3cC52hO4sH2sTqMTwKx7FeUEr4HdVfgWCImU.YMw8-P_tNAy25zZEsA4Ur_n2BqoEXlHPK50ZxCiwTBo&amp;dib_tag=se&amp;keywords=singer%2B4452%2Bfoot%2Bpedal&amp;qid=1767842447&amp;sprefix=singer%2B4452%2Bfoot%2Bpedal%2Caps%2C169&amp;sr=8-5&amp;th=1</t>
  </si>
  <si>
    <t xml:space="preserve">If using setup from scratch, might be able to modify singer board to avoid purchase. </t>
  </si>
  <si>
    <t>BTA24-600BWRG</t>
  </si>
  <si>
    <t>TRIAC Alternistor - Snubberless 600 V 25 A Through Hole TO-220</t>
  </si>
  <si>
    <t>STMicroelectronics</t>
  </si>
  <si>
    <t>Triac</t>
  </si>
  <si>
    <t>Triac Controller</t>
  </si>
  <si>
    <t>https://www.digikey.com/en/products/detail/stmicroelectronics/BTA24-600BWRG/654431</t>
  </si>
  <si>
    <t>MOC3023</t>
  </si>
  <si>
    <t>Optoisolator Triac Output 5000Vrms 1 Channel 6-DIP</t>
  </si>
  <si>
    <t>https://www.digikey.com/en/products/detail/liteon/MOC3023/385848</t>
  </si>
  <si>
    <t>H11AA1</t>
  </si>
  <si>
    <t>Optoisolator Transistor with Base Output 5300Vrms 1 Channel 6-DIP</t>
  </si>
  <si>
    <t>Vishay</t>
  </si>
  <si>
    <t>https://www.digikey.com/en/products/detail/vishay-semiconductor-opto-division/H11AA1/1731509</t>
  </si>
  <si>
    <t>B32921C3223K000</t>
  </si>
  <si>
    <t>0.022 µF Film Capacitor 305V 630V Polypropylene (PP) Radial</t>
  </si>
  <si>
    <t>EPCOS - TDK Electronics</t>
  </si>
  <si>
    <t>Snubber Capacitor for Triac network, X2 Rated</t>
  </si>
  <si>
    <t>https://www.digikey.com/en/products/detail/epcos-tdk-electronics/B32921C3223K000/3492410</t>
  </si>
  <si>
    <t>ACS725LLCTR-20AB-T</t>
  </si>
  <si>
    <t>CURRENT SEN HE/DIFF 20A 8-SOIC</t>
  </si>
  <si>
    <t>https://www.digikey.com/en/products/detail/allegro-microsystems/ACS725LLCTR-20AB-T/5175293?s=N4IgTCBcDaIIIGEDKB2MBWAMphAVASgLRgAMcAQobiALoC%2BQA</t>
  </si>
  <si>
    <t>MOV-14D471K</t>
  </si>
  <si>
    <t>470 V 4.5 kA Varistor 1 Circuit Through Hole Disc 14mm</t>
  </si>
  <si>
    <t>Bourns</t>
  </si>
  <si>
    <t>https://www.digikey.com/en/products/detail/bourns-inc/MOV-14D471K/2799087</t>
  </si>
  <si>
    <t>SCHURTER Inc.</t>
  </si>
  <si>
    <t>for protection, in series with motor.</t>
  </si>
  <si>
    <t>696108003002</t>
  </si>
  <si>
    <t>Fuse Block 20 A 250V 1 Circuit Cartridge Through Hole</t>
  </si>
  <si>
    <t>Würth Elektronik</t>
  </si>
  <si>
    <t>Fuse Holder</t>
  </si>
  <si>
    <t>https://www.digikey.com/en/products/detail/w%C3%BCrth-elektronik/696108003002/7244560</t>
  </si>
  <si>
    <t>2.5 A 250 V Fuse Cartridge, Glass Requires Holder 5mm x 20mm</t>
  </si>
  <si>
    <t>34.3121</t>
  </si>
  <si>
    <t>https://www.digikey.com/en/products/detail/schurter-inc/0034-3121/639680</t>
  </si>
  <si>
    <t>Protects motor from transients, in parallel with motor, shorts on overvoltage</t>
  </si>
  <si>
    <t xml:space="preserve">I need this for the power cord, at least. </t>
  </si>
  <si>
    <t>Archived parts</t>
  </si>
  <si>
    <t>AD5160BRJZ100-RL7</t>
  </si>
  <si>
    <t>Digital Potentiometer 100k Ohm 1 Circuit 256 Taps SPI Interface SOT-23-8</t>
  </si>
  <si>
    <t>Analog Devices</t>
  </si>
  <si>
    <t>https://www.digikey.com/en/products/detail/analog-devices-inc/AD5160BRJZ100-RL7/760517</t>
  </si>
  <si>
    <t>AD5160BRJZ5-RL7</t>
  </si>
  <si>
    <t>Digital Potentiometer 5k Ohm 1 Circuit 256 Taps SPI Interface SOT-23-8</t>
  </si>
  <si>
    <t>https://www.digikey.com/en/products/detail/analog-devices-inc/AD5160BRJZ5-RL7/995798</t>
  </si>
  <si>
    <t>NX3L4051PW,118</t>
  </si>
  <si>
    <t>1 Circuit IC Switch 8:1 750mOhm 16-TSSOP</t>
  </si>
  <si>
    <t>NXP USA</t>
  </si>
  <si>
    <t>https://www.digikey.com/en/products/detail/nxp-usa-inc/NX3L4051PW-118/3679433</t>
  </si>
  <si>
    <t>BT136-600E,127</t>
  </si>
  <si>
    <t>TRIAC Logic - Sensitive Gate 600 V 4 A Through Hole TO-220AB</t>
  </si>
  <si>
    <t>WeEn Semiconductors</t>
  </si>
  <si>
    <t>Triac for switching (I need 12)</t>
  </si>
  <si>
    <t>https://www.digikey.com/en/products/detail/ween-semiconductors/BT136-600E-127/1155125</t>
  </si>
  <si>
    <t>Qnty</t>
  </si>
  <si>
    <t>MFG #</t>
  </si>
  <si>
    <t>Price</t>
  </si>
  <si>
    <t>Unused parts</t>
  </si>
  <si>
    <t>Potential foot pedal solution:</t>
  </si>
  <si>
    <t>1287-ST</t>
  </si>
  <si>
    <t>(534-1287-ST)</t>
  </si>
  <si>
    <t>Digikey # (Mouser)</t>
  </si>
  <si>
    <t>Terminals PCB STURDI-MNT TERM</t>
  </si>
  <si>
    <t>Keystone Electronics</t>
  </si>
  <si>
    <t>Mouser</t>
  </si>
  <si>
    <t>https://www.mouser.com/ProductDetail/Keystone-Electronics/1287-ST?qs=lQmX4aIt5iBQmFQ9gmrtHw%3D%3D</t>
  </si>
  <si>
    <t>42100-2 (CUT STRIP)</t>
  </si>
  <si>
    <t>(571-421002-CT)</t>
  </si>
  <si>
    <t>Terminals .25 FF REC IS 18-14 Cut Strip of 100</t>
  </si>
  <si>
    <t>TE Connectivity</t>
  </si>
  <si>
    <t>https://www.mouser.com/ProductDetail/TE-Connectivity-AMP/42100-2-CUT-STRIP?qs=2FIyTMJ0hNlByrnrD71s6A%3D%3D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</si>
</sst>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rgb="FF444444"/>
      <name val="Arial"/>
      <family val="2"/>
    </font>
    <font>
      <sz val="11"/>
      <color theme="1"/>
      <name val="Aptos Narrow"/>
      <scheme val="minor"/>
    </font>
    <font>
      <sz val="9"/>
      <color rgb="FF333333"/>
      <name val="Arial"/>
      <family val="2"/>
    </font>
    <font>
      <u/>
      <sz val="11"/>
      <color theme="10"/>
      <name val="Aptos Narrow"/>
      <family val="2"/>
      <scheme val="minor"/>
    </font>
    <font>
      <sz val="9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0" fillId="0" borderId="0" xfId="0" quotePrefix="1"/>
    <xf numFmtId="0" fontId="5" fillId="0" borderId="0" xfId="0" applyFont="1"/>
    <xf numFmtId="0" fontId="6" fillId="0" borderId="0" xfId="1"/>
    <xf numFmtId="0" fontId="7" fillId="0" borderId="0" xfId="0" applyFont="1"/>
    <xf numFmtId="0" fontId="1" fillId="0" borderId="0" xfId="0" applyFont="1" applyAlignment="1">
      <alignment horizontal="left" vertical="center" wrapText="1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5EF-C139-4DB8-9C18-69360E79681B}">
  <dimension ref="A1:I27"/>
  <sheetViews>
    <sheetView tabSelected="1" topLeftCell="B1" zoomScale="125" workbookViewId="0">
      <selection activeCell="H6" sqref="H6"/>
    </sheetView>
  </sheetViews>
  <sheetFormatPr defaultColWidth="8.85546875" defaultRowHeight="15" x14ac:dyDescent="0.25"/>
  <cols>
    <col min="1" max="1" width="27.85546875" customWidth="1"/>
    <col min="2" max="2" width="29" customWidth="1"/>
    <col min="3" max="3" width="83" customWidth="1"/>
    <col min="6" max="6" width="26.140625" customWidth="1"/>
    <col min="7" max="7" width="27.42578125" customWidth="1"/>
    <col min="8" max="8" width="18.5703125" customWidth="1"/>
  </cols>
  <sheetData>
    <row r="1" spans="1:9" x14ac:dyDescent="0.25">
      <c r="A1" t="s">
        <v>80</v>
      </c>
      <c r="B1" t="s">
        <v>86</v>
      </c>
      <c r="C1" t="s">
        <v>3</v>
      </c>
      <c r="D1" t="s">
        <v>81</v>
      </c>
      <c r="E1" t="s">
        <v>79</v>
      </c>
      <c r="F1" t="s">
        <v>0</v>
      </c>
      <c r="G1" t="s">
        <v>1</v>
      </c>
      <c r="H1" t="s">
        <v>4</v>
      </c>
      <c r="I1" t="s">
        <v>2</v>
      </c>
    </row>
    <row r="2" spans="1:9" x14ac:dyDescent="0.25">
      <c r="A2" s="7"/>
      <c r="I2" s="8"/>
    </row>
    <row r="3" spans="1:9" ht="15.75" x14ac:dyDescent="0.25">
      <c r="A3" s="1" t="s">
        <v>91</v>
      </c>
      <c r="B3" s="10" t="s">
        <v>92</v>
      </c>
      <c r="C3" t="s">
        <v>93</v>
      </c>
      <c r="E3">
        <v>2</v>
      </c>
      <c r="F3" t="s">
        <v>94</v>
      </c>
      <c r="G3" t="s">
        <v>89</v>
      </c>
      <c r="I3" s="8" t="s">
        <v>95</v>
      </c>
    </row>
    <row r="4" spans="1:9" ht="15.75" x14ac:dyDescent="0.25">
      <c r="A4" s="1" t="s">
        <v>84</v>
      </c>
      <c r="B4" s="1" t="s">
        <v>85</v>
      </c>
      <c r="C4" t="s">
        <v>87</v>
      </c>
      <c r="E4">
        <v>2</v>
      </c>
      <c r="F4" t="s">
        <v>88</v>
      </c>
      <c r="G4" t="s">
        <v>89</v>
      </c>
      <c r="I4" s="8" t="s">
        <v>90</v>
      </c>
    </row>
    <row r="5" spans="1:9" x14ac:dyDescent="0.25">
      <c r="I5" s="8"/>
    </row>
    <row r="6" spans="1:9" x14ac:dyDescent="0.25">
      <c r="A6" s="9"/>
      <c r="C6" s="7"/>
      <c r="I6" s="8"/>
    </row>
    <row r="7" spans="1:9" x14ac:dyDescent="0.25">
      <c r="A7" s="7"/>
    </row>
    <row r="8" spans="1:9" x14ac:dyDescent="0.25">
      <c r="D8" s="5"/>
    </row>
    <row r="9" spans="1:9" x14ac:dyDescent="0.25">
      <c r="C9" t="s">
        <v>83</v>
      </c>
    </row>
    <row r="11" spans="1:9" x14ac:dyDescent="0.25">
      <c r="A11" t="s">
        <v>15</v>
      </c>
      <c r="C11" t="s">
        <v>17</v>
      </c>
      <c r="D11" s="5">
        <v>98.9</v>
      </c>
      <c r="F11" s="5" t="s">
        <v>16</v>
      </c>
      <c r="G11" s="5" t="s">
        <v>16</v>
      </c>
      <c r="H11" s="5" t="s">
        <v>24</v>
      </c>
      <c r="I11" t="s">
        <v>18</v>
      </c>
    </row>
    <row r="12" spans="1:9" x14ac:dyDescent="0.25">
      <c r="A12" t="s">
        <v>20</v>
      </c>
      <c r="C12" t="s">
        <v>19</v>
      </c>
      <c r="D12" s="5">
        <v>17.47</v>
      </c>
      <c r="F12" s="5" t="s">
        <v>21</v>
      </c>
      <c r="G12" s="5" t="s">
        <v>22</v>
      </c>
      <c r="H12" t="s">
        <v>61</v>
      </c>
      <c r="I12" t="s">
        <v>23</v>
      </c>
    </row>
    <row r="14" spans="1:9" x14ac:dyDescent="0.25">
      <c r="C14" t="s">
        <v>82</v>
      </c>
    </row>
    <row r="15" spans="1:9" x14ac:dyDescent="0.25">
      <c r="A15" t="s">
        <v>62</v>
      </c>
    </row>
    <row r="16" spans="1:9" ht="15.75" x14ac:dyDescent="0.25">
      <c r="A16" s="1" t="s">
        <v>25</v>
      </c>
      <c r="C16" s="3" t="s">
        <v>26</v>
      </c>
      <c r="D16">
        <v>2.64</v>
      </c>
      <c r="F16" t="s">
        <v>27</v>
      </c>
      <c r="G16" t="s">
        <v>5</v>
      </c>
      <c r="H16" t="s">
        <v>28</v>
      </c>
      <c r="I16" t="s">
        <v>30</v>
      </c>
    </row>
    <row r="17" spans="1:9" x14ac:dyDescent="0.25">
      <c r="A17" t="s">
        <v>34</v>
      </c>
      <c r="C17" t="s">
        <v>35</v>
      </c>
      <c r="D17">
        <v>1.31</v>
      </c>
      <c r="F17" t="s">
        <v>36</v>
      </c>
      <c r="G17" t="s">
        <v>5</v>
      </c>
      <c r="H17" t="s">
        <v>12</v>
      </c>
      <c r="I17" t="s">
        <v>37</v>
      </c>
    </row>
    <row r="18" spans="1:9" x14ac:dyDescent="0.25">
      <c r="A18" t="s">
        <v>43</v>
      </c>
      <c r="C18" s="4" t="s">
        <v>44</v>
      </c>
      <c r="D18">
        <v>3.31</v>
      </c>
      <c r="F18" t="s">
        <v>13</v>
      </c>
      <c r="G18" t="s">
        <v>5</v>
      </c>
      <c r="H18" t="s">
        <v>14</v>
      </c>
      <c r="I18" t="s">
        <v>45</v>
      </c>
    </row>
    <row r="19" spans="1:9" x14ac:dyDescent="0.25">
      <c r="A19" t="s">
        <v>46</v>
      </c>
      <c r="C19" t="s">
        <v>47</v>
      </c>
      <c r="D19" s="5">
        <v>0.32</v>
      </c>
      <c r="F19" t="s">
        <v>48</v>
      </c>
      <c r="G19" s="5" t="s">
        <v>5</v>
      </c>
      <c r="H19" s="5" t="s">
        <v>60</v>
      </c>
      <c r="I19" t="s">
        <v>49</v>
      </c>
    </row>
    <row r="20" spans="1:9" x14ac:dyDescent="0.25">
      <c r="A20" s="6" t="s">
        <v>58</v>
      </c>
      <c r="C20" t="s">
        <v>57</v>
      </c>
      <c r="D20" s="5">
        <v>0.76</v>
      </c>
      <c r="F20" t="s">
        <v>50</v>
      </c>
      <c r="G20" s="5" t="s">
        <v>5</v>
      </c>
      <c r="H20" s="5" t="s">
        <v>51</v>
      </c>
      <c r="I20" t="s">
        <v>59</v>
      </c>
    </row>
    <row r="21" spans="1:9" x14ac:dyDescent="0.25">
      <c r="A21" s="6" t="s">
        <v>52</v>
      </c>
      <c r="C21" t="s">
        <v>53</v>
      </c>
      <c r="D21" s="5">
        <v>0.61</v>
      </c>
      <c r="F21" t="s">
        <v>54</v>
      </c>
      <c r="G21" s="5" t="s">
        <v>5</v>
      </c>
      <c r="H21" s="5" t="s">
        <v>55</v>
      </c>
      <c r="I21" t="s">
        <v>56</v>
      </c>
    </row>
    <row r="22" spans="1:9" x14ac:dyDescent="0.25">
      <c r="A22" t="s">
        <v>63</v>
      </c>
      <c r="C22" t="s">
        <v>64</v>
      </c>
      <c r="D22">
        <v>2.4</v>
      </c>
      <c r="F22" t="s">
        <v>65</v>
      </c>
      <c r="G22" s="5" t="s">
        <v>5</v>
      </c>
      <c r="I22" t="s">
        <v>66</v>
      </c>
    </row>
    <row r="23" spans="1:9" x14ac:dyDescent="0.25">
      <c r="A23" t="s">
        <v>67</v>
      </c>
      <c r="C23" t="s">
        <v>68</v>
      </c>
      <c r="D23">
        <v>2.4</v>
      </c>
      <c r="F23" t="s">
        <v>65</v>
      </c>
      <c r="G23" s="5" t="s">
        <v>5</v>
      </c>
      <c r="I23" t="s">
        <v>69</v>
      </c>
    </row>
    <row r="24" spans="1:9" x14ac:dyDescent="0.25">
      <c r="A24" t="s">
        <v>70</v>
      </c>
      <c r="C24" t="s">
        <v>71</v>
      </c>
      <c r="D24">
        <v>1.25</v>
      </c>
      <c r="F24" t="s">
        <v>72</v>
      </c>
      <c r="G24" s="5" t="s">
        <v>5</v>
      </c>
      <c r="I24" t="s">
        <v>73</v>
      </c>
    </row>
    <row r="25" spans="1:9" x14ac:dyDescent="0.25">
      <c r="A25" t="s">
        <v>74</v>
      </c>
      <c r="C25" t="s">
        <v>75</v>
      </c>
      <c r="D25">
        <f>12*1.07</f>
        <v>12.84</v>
      </c>
      <c r="F25" t="s">
        <v>76</v>
      </c>
      <c r="G25" s="5" t="s">
        <v>5</v>
      </c>
      <c r="H25" t="s">
        <v>77</v>
      </c>
      <c r="I25" t="s">
        <v>78</v>
      </c>
    </row>
    <row r="26" spans="1:9" x14ac:dyDescent="0.25">
      <c r="A26" t="s">
        <v>38</v>
      </c>
      <c r="C26" t="s">
        <v>39</v>
      </c>
      <c r="D26" s="5">
        <v>0.49</v>
      </c>
      <c r="F26" t="s">
        <v>40</v>
      </c>
      <c r="G26" s="5" t="s">
        <v>5</v>
      </c>
      <c r="H26" s="5" t="s">
        <v>41</v>
      </c>
      <c r="I26" t="s">
        <v>42</v>
      </c>
    </row>
    <row r="27" spans="1:9" ht="15.75" x14ac:dyDescent="0.25">
      <c r="A27" s="2" t="s">
        <v>31</v>
      </c>
      <c r="C27" s="3" t="s">
        <v>32</v>
      </c>
      <c r="D27">
        <v>0.59</v>
      </c>
      <c r="F27" t="s">
        <v>11</v>
      </c>
      <c r="G27" t="s">
        <v>5</v>
      </c>
      <c r="H27" t="s">
        <v>29</v>
      </c>
      <c r="I27" t="s">
        <v>33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C9B9-9062-E94D-AEB2-383928DA387D}">
  <dimension ref="A1:A5"/>
  <sheetViews>
    <sheetView workbookViewId="0">
      <selection activeCell="A6" sqref="A6"/>
    </sheetView>
  </sheetViews>
  <sheetFormatPr defaultColWidth="11.42578125" defaultRowHeight="15" x14ac:dyDescent="0.25"/>
  <cols>
    <col min="1" max="1" width="27.85546875" customWidth="1"/>
  </cols>
  <sheetData>
    <row r="1" spans="1:1" x14ac:dyDescent="0.25">
      <c r="A1" t="s">
        <v>6</v>
      </c>
    </row>
    <row r="2" spans="1:1" x14ac:dyDescent="0.25">
      <c r="A2" t="s">
        <v>7</v>
      </c>
    </row>
    <row r="3" spans="1:1" x14ac:dyDescent="0.25">
      <c r="A3" t="s">
        <v>8</v>
      </c>
    </row>
    <row r="4" spans="1:1" x14ac:dyDescent="0.25">
      <c r="A4" t="s">
        <v>9</v>
      </c>
    </row>
    <row r="5" spans="1:1" x14ac:dyDescent="0.25">
      <c r="A5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Elliott Heath</dc:creator>
  <cp:lastModifiedBy>John Elliott Heath</cp:lastModifiedBy>
  <dcterms:created xsi:type="dcterms:W3CDTF">2025-12-24T00:07:21Z</dcterms:created>
  <dcterms:modified xsi:type="dcterms:W3CDTF">2026-01-30T06:02:32Z</dcterms:modified>
</cp:coreProperties>
</file>