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jheath_stanford_edu/Documents/nonsense/sewing/singer4452-speed-controller/"/>
    </mc:Choice>
  </mc:AlternateContent>
  <xr:revisionPtr revIDLastSave="866" documentId="8_{CF98681D-D789-4D86-96CC-69D7BE0CF994}" xr6:coauthVersionLast="47" xr6:coauthVersionMax="47" xr10:uidLastSave="{CFCD3FA8-EE73-3C41-BED4-37FD7CC7877C}"/>
  <bookViews>
    <workbookView xWindow="880" yWindow="1120" windowWidth="32760" windowHeight="18580" xr2:uid="{55063511-F0A8-42A5-8409-EFE34AF8E3D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" l="1"/>
  <c r="C48" i="1"/>
</calcChain>
</file>

<file path=xl/sharedStrings.xml><?xml version="1.0" encoding="utf-8"?>
<sst xmlns="http://schemas.openxmlformats.org/spreadsheetml/2006/main" count="300" uniqueCount="222">
  <si>
    <t>Part #</t>
  </si>
  <si>
    <t>MFG</t>
  </si>
  <si>
    <t>Supplier</t>
  </si>
  <si>
    <t>Link</t>
  </si>
  <si>
    <t>Description</t>
  </si>
  <si>
    <t>Notes</t>
  </si>
  <si>
    <t>Digikey</t>
  </si>
  <si>
    <t>Feautures</t>
  </si>
  <si>
    <t xml:space="preserve">Bluetooth On/Off mechanical switch. </t>
  </si>
  <si>
    <t>volume control</t>
  </si>
  <si>
    <t>noise cancellation control?</t>
  </si>
  <si>
    <t xml:space="preserve">Swappable battery - recharge battery externally. </t>
  </si>
  <si>
    <t>LP2985IM5X-3.3/NOPB</t>
  </si>
  <si>
    <t>TI</t>
  </si>
  <si>
    <t>Lite-On Inc.</t>
  </si>
  <si>
    <t>Isolated Zero Crossing Detector</t>
  </si>
  <si>
    <t>Allegro Microsystems</t>
  </si>
  <si>
    <t>Current Sensor (If implementing current feedback)</t>
  </si>
  <si>
    <t>AS5600-ASOT</t>
  </si>
  <si>
    <t>IC SENSOR MAG ROTARY 12BIT 8SOIC</t>
  </si>
  <si>
    <t>ams-OSRAM USA Inc.</t>
  </si>
  <si>
    <t xml:space="preserve">Magnet rotary position sensor, 3.3V supply. </t>
  </si>
  <si>
    <t>https://www.digikey.com/en/products/detail/ams-osram-usa-inc/AS5600-ASOT/4914338</t>
  </si>
  <si>
    <t>469-1003-ND</t>
  </si>
  <si>
    <t>Magnet Neodymium Iron Boron (NdFeB) N35 0.250" Dia x 0.250" H (6.35mm x 6.35mm)</t>
  </si>
  <si>
    <t>Radial Magnets Inc.</t>
  </si>
  <si>
    <t>Strong magnet</t>
  </si>
  <si>
    <t>https://www.digikey.com/en/products/detail/radial-magnets-inc/8019/555327</t>
  </si>
  <si>
    <t>L1000 Potentiometer Foot Pedals</t>
  </si>
  <si>
    <t>The SSC Controls Company</t>
  </si>
  <si>
    <t>1kOhm Pot Foot Pedal</t>
  </si>
  <si>
    <t>https://ssccontrols.com/product/l1000-potentiometer-foot-pedals/?srsltid=AfmBOoqsr6aOKZsohCI9cj2Y0A9bZh-WNVlewUzPr7vM35dKn4nZnCqYjzM</t>
  </si>
  <si>
    <t>Foot Pedal Power Cord Replacement for Singer Sewing Machine, D Shape Plug Compatible with Singer 4452 4432 4423 4411 5554 5532 5523 5511 m1150 m1500 m2100(359102-001)</t>
  </si>
  <si>
    <t>NA</t>
  </si>
  <si>
    <t>POANES</t>
  </si>
  <si>
    <t>Amazon</t>
  </si>
  <si>
    <t>https://www.amazon.com/POANES-Replacement-Machine-Compatible-359102-001/dp/B0C5MBTQH7/ref=sr_1_5?crid=GOTZ1LX0K8LA&amp;dib=eyJ2IjoiMSJ9.Lx4kAURc9eP1leE_Ab4YPMODSA1pn48UR6GUiCNIvqDMUg3aIRS4Ws8lwTLYFTRmxlR2fAM4eooUVmJ6QpGgPnD4nXzPJeUURCMYxhxI7pQfBf6CMzm-AUaZ8g39RFNUkcanrcyHaNyHoLmD7bDlCXmre6yqEVO5nHJRl0cHYYEgcHo8B461EIPEpFaJaHA_DlDE22YtU2cAU8uRA0jthnvV5MOS25yayf6i9Us1OQPm0iyFh21N82wXPgVniIz_jlM93na3cC52hO4sH2sTqMTwKx7FeUEr4HdVfgWCImU.YMw8-P_tNAy25zZEsA4Ur_n2BqoEXlHPK50ZxCiwTBo&amp;dib_tag=se&amp;keywords=singer%2B4452%2Bfoot%2Bpedal&amp;qid=1767842447&amp;sprefix=singer%2B4452%2Bfoot%2Bpedal%2Caps%2C169&amp;sr=8-5&amp;th=1</t>
  </si>
  <si>
    <t xml:space="preserve">If using setup from scratch, might be able to modify singer board to avoid purchase. </t>
  </si>
  <si>
    <t>Digilkey</t>
  </si>
  <si>
    <t>Power Supply</t>
  </si>
  <si>
    <t>BTA24-600BWRG</t>
  </si>
  <si>
    <t>TRIAC Alternistor - Snubberless 600 V 25 A Through Hole TO-220</t>
  </si>
  <si>
    <t>STMicroelectronics</t>
  </si>
  <si>
    <t>Triac</t>
  </si>
  <si>
    <t>Triac Controller</t>
  </si>
  <si>
    <t>https://www.digikey.com/en/products/detail/stmicroelectronics/BTA24-600BWRG/654431</t>
  </si>
  <si>
    <t>MOC3023</t>
  </si>
  <si>
    <t>Optoisolator Triac Output 5000Vrms 1 Channel 6-DIP</t>
  </si>
  <si>
    <t>https://www.digikey.com/en/products/detail/liteon/MOC3023/385848</t>
  </si>
  <si>
    <t>H11AA1</t>
  </si>
  <si>
    <t>Optoisolator Transistor with Base Output 5300Vrms 1 Channel 6-DIP</t>
  </si>
  <si>
    <t>Vishay</t>
  </si>
  <si>
    <t>https://www.digikey.com/en/products/detail/vishay-semiconductor-opto-division/H11AA1/1731509</t>
  </si>
  <si>
    <t>B32921C3223K000</t>
  </si>
  <si>
    <t>0.022 µF Film Capacitor 305V 630V Polypropylene (PP) Radial</t>
  </si>
  <si>
    <t>EPCOS - TDK Electronics</t>
  </si>
  <si>
    <t>Snubber Capacitor for Triac network, X2 Rated</t>
  </si>
  <si>
    <t>https://www.digikey.com/en/products/detail/epcos-tdk-electronics/B32921C3223K000/3492410</t>
  </si>
  <si>
    <t>ACS725LLCTR-20AB-T</t>
  </si>
  <si>
    <t>CURRENT SEN HE/DIFF 20A 8-SOIC</t>
  </si>
  <si>
    <t>https://www.digikey.com/en/products/detail/allegro-microsystems/ACS725LLCTR-20AB-T/5175293?s=N4IgTCBcDaIIIGEDKB2MBWAMphAVASgLRgAMcAQobiALoC%2BQA</t>
  </si>
  <si>
    <t>TRE06S050-A-01E03 VI</t>
  </si>
  <si>
    <t>5V 6 W AC/DC External Wall Mount (Class II) Adapter Fixed Blade Input</t>
  </si>
  <si>
    <t>Cincon</t>
  </si>
  <si>
    <t>https://www.digikey.com/en/products/detail/cincon-electronics-co-ltd/TRE06S050-A-01E03-VI/12168086</t>
  </si>
  <si>
    <t>Linear Voltage Regulator IC Positive Fixed 1 Output 150mA SOT-23-5</t>
  </si>
  <si>
    <t>LDO Regulator</t>
  </si>
  <si>
    <t>https://www.digikey.com/en/products/detail/texas-instruments/LP2985IM5X-3-3-NOPB/367679?s=N4IgTCBcDaIDIAUwE4AcBWAkgWXQDQFoBmAOiIHoA5AeQQCEQBdAXyA</t>
  </si>
  <si>
    <t>CP-059A-ND</t>
  </si>
  <si>
    <t>CONN PWR JACK 2X5.5MM SOLDER</t>
  </si>
  <si>
    <t>Same Sky</t>
  </si>
  <si>
    <t>Power Connector</t>
  </si>
  <si>
    <t>https://www.digikey.com/en/products/detail/same-sky-formerly-cui-devices/PJ-059A/1644607</t>
  </si>
  <si>
    <t>MOV-14D471K</t>
  </si>
  <si>
    <t>470 V 4.5 kA Varistor 1 Circuit Through Hole Disc 14mm</t>
  </si>
  <si>
    <t>Bourns</t>
  </si>
  <si>
    <t>https://www.digikey.com/en/products/detail/bourns-inc/MOV-14D471K/2799087</t>
  </si>
  <si>
    <t>SCHURTER Inc.</t>
  </si>
  <si>
    <t>for protection, in series with motor.</t>
  </si>
  <si>
    <t>696108003002</t>
  </si>
  <si>
    <t>Fuse Block 20 A 250V 1 Circuit Cartridge Through Hole</t>
  </si>
  <si>
    <t>Würth Elektronik</t>
  </si>
  <si>
    <t>Fuse Holder</t>
  </si>
  <si>
    <t>https://www.digikey.com/en/products/detail/w%C3%BCrth-elektronik/696108003002/7244560</t>
  </si>
  <si>
    <t>2.5 A 250 V Fuse Cartridge, Glass Requires Holder 5mm x 20mm</t>
  </si>
  <si>
    <t>34.3121</t>
  </si>
  <si>
    <t>https://www.digikey.com/en/products/detail/schurter-inc/0034-3121/639680</t>
  </si>
  <si>
    <t>Protects motor from transients, in parallel with motor, shorts on overvoltage</t>
  </si>
  <si>
    <t>Enclosure Parts</t>
  </si>
  <si>
    <t>91292A135</t>
  </si>
  <si>
    <t>18-8 Stainless Steel Socket Head Screw, M6, 16mm long, pack of 50</t>
  </si>
  <si>
    <t>Mcmaster Carr</t>
  </si>
  <si>
    <t>18-8 Stainless Steel Socket Head Screw, M6 x 1 mm Thread, 16 mm Long | McMaster-Carr</t>
  </si>
  <si>
    <t>9657K547</t>
  </si>
  <si>
    <t>Compression Spring, 3" Long, 1.225" OD, 1.055" ID | McMaster-Carr</t>
  </si>
  <si>
    <t>Compression Spring, 3" Long, 1.225" OD, 1.055" ID, Spring Steel, pack of 6</t>
  </si>
  <si>
    <t>91287A264</t>
  </si>
  <si>
    <t>18-8 Stainless Steel Hex Head Screw, M6 x 1mm Part Thread, 130mm Long, pack of 5</t>
  </si>
  <si>
    <t>18-8 Stainless Steel Hex Head Screw, Made in The U.S., M6 x 1mm Part Thread, 130mm Long | McMaster-Carr</t>
  </si>
  <si>
    <t>91828A251</t>
  </si>
  <si>
    <t>Corrosion-Resistant 18-8 Stainless Steel Hex Nut, M6 x 1 mm Thread Size, pack of 100</t>
  </si>
  <si>
    <t>Corrosion-Resistant 18-8 Stainless Steel Hex Nut, M6 x 1 mm Thread Size | McMaster-Carr</t>
  </si>
  <si>
    <t>95211A160</t>
  </si>
  <si>
    <t xml:space="preserve"> 316 Stainless Steel Oversized Washer for M6 Screw Size, 6.4 mm ID, 18.0 mm OD, Pack of 25</t>
  </si>
  <si>
    <t>Super-Corrosion-Resistant 316 Stainless Steel Oversized Washer, for M6 Screw Size, 6.4 mm ID, 18.0 mm OD | McMaster-Carr</t>
  </si>
  <si>
    <t xml:space="preserve">I have some of these, so not ordering. </t>
  </si>
  <si>
    <t xml:space="preserve">I have similar screws, so not ordering for now. </t>
  </si>
  <si>
    <t xml:space="preserve">I need this for the power cord, at least. </t>
  </si>
  <si>
    <t>Enclosure cost</t>
  </si>
  <si>
    <t>Foot pedal alternative</t>
  </si>
  <si>
    <t>Archived parts</t>
  </si>
  <si>
    <t>AD5160BRJZ100-RL7</t>
  </si>
  <si>
    <t>Digital Potentiometer 100k Ohm 1 Circuit 256 Taps SPI Interface SOT-23-8</t>
  </si>
  <si>
    <t>Analog Devices</t>
  </si>
  <si>
    <t>https://www.digikey.com/en/products/detail/analog-devices-inc/AD5160BRJZ100-RL7/760517</t>
  </si>
  <si>
    <t>AD5160BRJZ5-RL7</t>
  </si>
  <si>
    <t>Digital Potentiometer 5k Ohm 1 Circuit 256 Taps SPI Interface SOT-23-8</t>
  </si>
  <si>
    <t>https://www.digikey.com/en/products/detail/analog-devices-inc/AD5160BRJZ5-RL7/995798</t>
  </si>
  <si>
    <t>NX3L4051PW,118</t>
  </si>
  <si>
    <t>1 Circuit IC Switch 8:1 750mOhm 16-TSSOP</t>
  </si>
  <si>
    <t>NXP USA</t>
  </si>
  <si>
    <t>https://www.digikey.com/en/products/detail/nxp-usa-inc/NX3L4051PW-118/3679433</t>
  </si>
  <si>
    <t>BT136-600E,127</t>
  </si>
  <si>
    <t>TRIAC Logic - Sensitive Gate 600 V 4 A Through Hole TO-220AB</t>
  </si>
  <si>
    <t>WeEn Semiconductors</t>
  </si>
  <si>
    <t>Triac for switching (I need 12)</t>
  </si>
  <si>
    <t>https://www.digikey.com/en/products/detail/ween-semiconductors/BT136-600E-127/1155125</t>
  </si>
  <si>
    <t>SSR Relay ( I need 12)</t>
  </si>
  <si>
    <t>2N3904</t>
  </si>
  <si>
    <t>Bipolar (BJT) Transistor NPN 40 V 200 mA 300MHz 625 mW Through Hole TO-92</t>
  </si>
  <si>
    <t>Diotec Semiconductor</t>
  </si>
  <si>
    <t>Basic MCU</t>
  </si>
  <si>
    <t>680 Ohms ±1% 0.6W Through Hole Resistor Axial Metal Film</t>
  </si>
  <si>
    <t>For LED current limit in SSR</t>
  </si>
  <si>
    <t>https://www.digikey.com/en/products/detail/te-connectivity-passive-product/LR1F680R/2381276</t>
  </si>
  <si>
    <t>TE Connectivity</t>
  </si>
  <si>
    <t>LR1F680R</t>
  </si>
  <si>
    <t>https://www.digikey.com/en/products/detail/diotec-semiconductor/2N3904/13164701</t>
  </si>
  <si>
    <t>To drive LED in SSR (12)</t>
  </si>
  <si>
    <t>LH1546AT</t>
  </si>
  <si>
    <t>Solid State Photo-Coupled Relay (Photorelay) SPST-NO (1 Form A) 6-DIP (0.300", 7.62mm)</t>
  </si>
  <si>
    <t>https://www.digikey.com/en/products/detail/vishay-semiconductor-opto-division/LH1546AT/4072652?s=N4IgTCBcDaIDIAkCMBWALANgIIBUQF0BfIA</t>
  </si>
  <si>
    <t>RNF14FTD22R1</t>
  </si>
  <si>
    <t>22.1 Ohms ±1% 0.25W, 1/4W Through Hole Resistor Axial Flame Retardant Coating, Safety Metal Film</t>
  </si>
  <si>
    <t>Stackpole Electronics Inc</t>
  </si>
  <si>
    <t>Resistance Grid</t>
  </si>
  <si>
    <t>https://www.digikey.com/en/products/detail/stackpole-electronics-inc/RNF14FTD22R1/1706712</t>
  </si>
  <si>
    <t>MFR-25FRF52-44R2</t>
  </si>
  <si>
    <t>44.2 Ohms ±1% 0.25W, 1/4W Through Hole Resistor Axial Metal Film</t>
  </si>
  <si>
    <t>YAGEO</t>
  </si>
  <si>
    <t>https://www.digikey.com/en/products/detail/yageo/MFR-25FRF52-44R2/14761</t>
  </si>
  <si>
    <t>88.7 Ohms ±1% 0.25W, 1/4W Through Hole Resistor Axial Metal Film</t>
  </si>
  <si>
    <t>MFR-25FBF52-88R7</t>
  </si>
  <si>
    <t>https://www.digikey.com/en/products/detail/yageo/MFR-25FBF52-88R7/12785</t>
  </si>
  <si>
    <t>178 Ohms ±1% 0.25W, 1/4W Through Hole Resistor Axial Metal Film</t>
  </si>
  <si>
    <t>MFR-25FBF52-178R</t>
  </si>
  <si>
    <t>https://www.digikey.com/en/products/detail/yageo/MFR-25FBF52-178R/12845</t>
  </si>
  <si>
    <t>357 Ohms ±1% 0.25W, 1/4W Through Hole Resistor Axial Metal Film</t>
  </si>
  <si>
    <t>MFR-25FBF52-357R</t>
  </si>
  <si>
    <t>MFR-25FBF52-715R</t>
  </si>
  <si>
    <t>715 Ohms ±1% 0.25W, 1/4W Through Hole Resistor Axial Metal Film</t>
  </si>
  <si>
    <t>https://www.digikey.com/en/products/detail/yageo/MFR-25FBF52-715R/12983</t>
  </si>
  <si>
    <t>https://www.digikey.com/en/products/detail/yageo/MFR-25FBF52-357R/12911?s=N4IgTCBcDaILIDEBKBaMBWBAhB6woGZ0B2JEAXQF8g</t>
  </si>
  <si>
    <t>MFR-25FBF52-1K43</t>
  </si>
  <si>
    <t>1.43 kOhms ±1% 0.25W, 1/4W Through Hole Resistor Axial Metal Film</t>
  </si>
  <si>
    <t>https://www.digikey.com/en/products/detail/yageo/MFR-25FBF52-1K43/13042</t>
  </si>
  <si>
    <t>MFR-25FBF52-2K87</t>
  </si>
  <si>
    <t>2.87 kOhms ±1% 0.25W, 1/4W Through Hole Resistor Axial Metal Film</t>
  </si>
  <si>
    <t>https://www.digikey.com/en/products/detail/yageo/MFR-25FBF52-2K87/13116</t>
  </si>
  <si>
    <t>5.76 kOhms ±1% 0.25W, 1/4W Through Hole Resistor Axial Metal Film</t>
  </si>
  <si>
    <t>MFR-25FRF52-5K76</t>
  </si>
  <si>
    <t>https://www.digikey.com/en/products/detail/yageo/MFR-25FRF52-5K76/14962</t>
  </si>
  <si>
    <t>11.5 kOhms ±1% 0.25W, 1/4W Through Hole Resistor Axial Metal Film</t>
  </si>
  <si>
    <t>MFR-25FBF52-11K5</t>
  </si>
  <si>
    <t>https://www.digikey.com/en/products/detail/yageo/MFR-25FBF52-11K5/13230</t>
  </si>
  <si>
    <t>23.2 kOhms ±1% 0.25W, 1/4W Through Hole Resistor Axial Metal Film</t>
  </si>
  <si>
    <t>MFR-25FBF52-23K2</t>
  </si>
  <si>
    <t>https://www.digikey.com/en/products/detail/yageo/MFR-25FBF52-23K2/13288</t>
  </si>
  <si>
    <t>MFR-25FRF52-46K4</t>
  </si>
  <si>
    <t>46.4 kOhms ±1% 0.25W, 1/4W Through Hole Resistor Axial Metal Film</t>
  </si>
  <si>
    <t>https://www.digikey.com/en/products/detail/yageo/MFR-25FRF52-46K4/15046</t>
  </si>
  <si>
    <t>TDK Corporation</t>
  </si>
  <si>
    <t>Power Supply Cap for AS5600</t>
  </si>
  <si>
    <t>FG20X7R1H106KRT06</t>
  </si>
  <si>
    <t>10 µF ±10% 50V Ceramic Capacitor X7R Radial</t>
  </si>
  <si>
    <t>https://www.digikey.com/en/products/detail/tdk-corporation/FG20X7R1H106KRT06/5811902</t>
  </si>
  <si>
    <t>STM32C092KCT6</t>
  </si>
  <si>
    <t>https://www.digikey.com/en/products/detail/stmicroelectronics/STM32C092KCT6/25935636</t>
  </si>
  <si>
    <t>ARM® Cortex®-M0+ STM32C0 Microcontroller IC 32-Bit 48MHz 256KB (256K x 8) FLASH 32-LQFP (7x7)</t>
  </si>
  <si>
    <t>C320C104K5R5TA</t>
  </si>
  <si>
    <t>0.1 µF ±10% 50V Ceramic Capacitor X7R Radial</t>
  </si>
  <si>
    <t>Kemet</t>
  </si>
  <si>
    <t>Decoupling</t>
  </si>
  <si>
    <t>https://www.digikey.com/en/products/detail/kemet/C320C104K5R5TA/818040</t>
  </si>
  <si>
    <t>FG24X7R1E475KRT00</t>
  </si>
  <si>
    <t>4.7 µF ±10% 25V Ceramic Capacitor X7R Radial</t>
  </si>
  <si>
    <t>https://www.digikey.com/en/products/detail/tdk-corporation/FG24X7R1E475KRT00/7326742</t>
  </si>
  <si>
    <t>15V Clamp 4A (8/20µs) Ipp Tvs Diode Surface Mount SOT-23</t>
  </si>
  <si>
    <t>STS232050UL40</t>
  </si>
  <si>
    <t>Eaton - Electronics Division</t>
  </si>
  <si>
    <t>MCU protection</t>
  </si>
  <si>
    <t>https://www.digikey.com/en/products/detail/eaton-electronics-division/STS232050UL40/13280445</t>
  </si>
  <si>
    <t>1.5KE6.8CA</t>
  </si>
  <si>
    <t>TVS Diode for power supply (Bidirectional)</t>
  </si>
  <si>
    <t>TVS Diode for power 5V supply (Unidirectional)</t>
  </si>
  <si>
    <t xml:space="preserve">MCU protection and reverse polarity protection. </t>
  </si>
  <si>
    <t>1.5KE6.8A</t>
  </si>
  <si>
    <t>https://www.digikey.com/en/products/detail/littelfuse-inc/1-5KE6-8A/285842</t>
  </si>
  <si>
    <t>https://www.digikey.com/en/products/detail/littelfuse-inc/1-5KE6-8CA/285844</t>
  </si>
  <si>
    <t>S6302RS Bearing 15x42x13mm 440C Stainless Steel S6302-2RS Stainless Steel Ball Bearings ABEC-3 Rubber Sealed Pick of 4PC</t>
  </si>
  <si>
    <t>S6302-RS</t>
  </si>
  <si>
    <t>https://www.amazon.com/gp/product/B08FWNC43J/ref=ox_sc_act_title_1?smid=A8J4T7DYUXCDU&amp;psc=1</t>
  </si>
  <si>
    <t>I only need one, had to get 4</t>
  </si>
  <si>
    <t>https://www.mcmaster.com/5652N161/</t>
  </si>
  <si>
    <t>5652N161</t>
  </si>
  <si>
    <t>Fabric-Reinforced Multipurpose Neoprene Strip with Adhesive-Back, High-Strength, 2" x 36", 1/16" Thick</t>
  </si>
  <si>
    <t xml:space="preserve">Used as a gasket between split-clamp collar and sewing machine wheel. </t>
  </si>
  <si>
    <t>Qnty</t>
  </si>
  <si>
    <t>PDB181-K420K-203B</t>
  </si>
  <si>
    <t>20k Ohm 1 Gang Linear Panel Mount Potentiometer 1.0 Turns Carbon 0.2W, 1/5W PC Pins</t>
  </si>
  <si>
    <t>for foot pedal</t>
  </si>
  <si>
    <t>https://www.digikey.com/en/products/detail/bourns-inc/PDB181-K420K-203B/2564752?gclsrc=aw.ds&amp;gad_source=1&amp;gad_campaignid=20243136172&amp;gbraid=0AAAAADrbLlgJwPnPv9IAg0cqR_t2sA3Jj&amp;gclid=Cj0KCQiAvtzLBhCPARIsALwhxdq9-WzQczFsIyGDbBIxYBP660tTgf6fjwSJiYsAiSVNhyEwrqvXSrcaAixYEALw_w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</si>
</sst>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333333"/>
      <name val="Arial"/>
      <family val="2"/>
    </font>
    <font>
      <sz val="12"/>
      <color rgb="FF333333"/>
      <name val="Arial"/>
      <family val="2"/>
    </font>
    <font>
      <sz val="12"/>
      <color rgb="FF444444"/>
      <name val="Arial"/>
      <family val="2"/>
    </font>
    <font>
      <sz val="11"/>
      <color theme="1"/>
      <name val="Aptos Narrow"/>
      <scheme val="minor"/>
    </font>
    <font>
      <sz val="9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0" fillId="0" borderId="0" xfId="0" quotePrefix="1"/>
    <xf numFmtId="0" fontId="5" fillId="0" borderId="0" xfId="0" applyFont="1"/>
    <xf numFmtId="0" fontId="6" fillId="0" borderId="0" xfId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cincon-electronics-co-ltd/TRE06S050-A-01E03-VI/12168086" TargetMode="External"/><Relationship Id="rId3" Type="http://schemas.openxmlformats.org/officeDocument/2006/relationships/hyperlink" Target="https://www.mcmaster.com/91287A264/" TargetMode="External"/><Relationship Id="rId7" Type="http://schemas.openxmlformats.org/officeDocument/2006/relationships/hyperlink" Target="https://www.digikey.com/en/products/detail/texas-instruments/LP2985IM5X-3-3-NOPB/367679?s=N4IgTCBcDaIDIAUwE4AcBWAkgWXQDQFoBmAOiIHoA5AeQQCEQBdAXyA" TargetMode="External"/><Relationship Id="rId2" Type="http://schemas.openxmlformats.org/officeDocument/2006/relationships/hyperlink" Target="https://www.mcmaster.com/9657K547/" TargetMode="External"/><Relationship Id="rId1" Type="http://schemas.openxmlformats.org/officeDocument/2006/relationships/hyperlink" Target="https://www.mcmaster.com/91292A135/" TargetMode="External"/><Relationship Id="rId6" Type="http://schemas.openxmlformats.org/officeDocument/2006/relationships/hyperlink" Target="https://www.digikey.com/en/products/detail/yageo/MFR-25FRF52-44R2/14761" TargetMode="External"/><Relationship Id="rId5" Type="http://schemas.openxmlformats.org/officeDocument/2006/relationships/hyperlink" Target="https://www.mcmaster.com/95211A160/" TargetMode="External"/><Relationship Id="rId4" Type="http://schemas.openxmlformats.org/officeDocument/2006/relationships/hyperlink" Target="https://www.mcmaster.com/91828A251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C5EF-C139-4DB8-9C18-69360E79681B}">
  <dimension ref="A1:G68"/>
  <sheetViews>
    <sheetView tabSelected="1" topLeftCell="A9" zoomScale="125" workbookViewId="0">
      <selection activeCell="G29" sqref="G29"/>
    </sheetView>
  </sheetViews>
  <sheetFormatPr baseColWidth="10" defaultColWidth="8.83203125" defaultRowHeight="15" x14ac:dyDescent="0.2"/>
  <cols>
    <col min="1" max="1" width="27.83203125" customWidth="1"/>
    <col min="2" max="2" width="83" customWidth="1"/>
    <col min="4" max="4" width="26.1640625" customWidth="1"/>
    <col min="5" max="5" width="27.5" customWidth="1"/>
    <col min="6" max="6" width="41.33203125" customWidth="1"/>
  </cols>
  <sheetData>
    <row r="1" spans="1:7" x14ac:dyDescent="0.2">
      <c r="A1" t="s">
        <v>0</v>
      </c>
      <c r="B1" t="s">
        <v>4</v>
      </c>
      <c r="C1" t="s">
        <v>217</v>
      </c>
      <c r="D1" t="s">
        <v>1</v>
      </c>
      <c r="E1" t="s">
        <v>2</v>
      </c>
      <c r="F1" t="s">
        <v>5</v>
      </c>
      <c r="G1" t="s">
        <v>3</v>
      </c>
    </row>
    <row r="2" spans="1:7" ht="16" x14ac:dyDescent="0.2">
      <c r="A2" t="s">
        <v>18</v>
      </c>
      <c r="B2" s="3" t="s">
        <v>19</v>
      </c>
      <c r="C2" s="5">
        <v>3</v>
      </c>
      <c r="D2" s="5" t="s">
        <v>20</v>
      </c>
      <c r="E2" s="5" t="s">
        <v>6</v>
      </c>
      <c r="F2" s="5" t="s">
        <v>21</v>
      </c>
      <c r="G2" t="s">
        <v>22</v>
      </c>
    </row>
    <row r="3" spans="1:7" x14ac:dyDescent="0.2">
      <c r="A3" s="5" t="s">
        <v>186</v>
      </c>
      <c r="B3" s="5" t="s">
        <v>188</v>
      </c>
      <c r="C3" s="5">
        <v>3</v>
      </c>
      <c r="D3" t="s">
        <v>42</v>
      </c>
      <c r="E3" s="5" t="s">
        <v>6</v>
      </c>
      <c r="F3" t="s">
        <v>131</v>
      </c>
      <c r="G3" s="5" t="s">
        <v>187</v>
      </c>
    </row>
    <row r="4" spans="1:7" x14ac:dyDescent="0.2">
      <c r="A4" t="s">
        <v>61</v>
      </c>
      <c r="B4" t="s">
        <v>62</v>
      </c>
      <c r="C4" s="5">
        <v>1</v>
      </c>
      <c r="D4" s="5" t="s">
        <v>63</v>
      </c>
      <c r="E4" s="5" t="s">
        <v>38</v>
      </c>
      <c r="F4" s="5" t="s">
        <v>39</v>
      </c>
      <c r="G4" s="8" t="s">
        <v>64</v>
      </c>
    </row>
    <row r="5" spans="1:7" x14ac:dyDescent="0.2">
      <c r="A5" t="s">
        <v>12</v>
      </c>
      <c r="B5" t="s">
        <v>65</v>
      </c>
      <c r="C5" s="5">
        <v>3</v>
      </c>
      <c r="D5" t="s">
        <v>13</v>
      </c>
      <c r="E5" s="5" t="s">
        <v>6</v>
      </c>
      <c r="F5" s="5" t="s">
        <v>66</v>
      </c>
      <c r="G5" s="8" t="s">
        <v>67</v>
      </c>
    </row>
    <row r="6" spans="1:7" x14ac:dyDescent="0.2">
      <c r="A6" t="s">
        <v>68</v>
      </c>
      <c r="B6" t="s">
        <v>69</v>
      </c>
      <c r="C6" s="5">
        <v>3</v>
      </c>
      <c r="D6" t="s">
        <v>70</v>
      </c>
      <c r="E6" s="5" t="s">
        <v>6</v>
      </c>
      <c r="F6" s="5" t="s">
        <v>71</v>
      </c>
      <c r="G6" t="s">
        <v>72</v>
      </c>
    </row>
    <row r="7" spans="1:7" ht="16" x14ac:dyDescent="0.2">
      <c r="A7" s="1" t="s">
        <v>139</v>
      </c>
      <c r="B7" t="s">
        <v>140</v>
      </c>
      <c r="C7">
        <v>15</v>
      </c>
      <c r="D7" t="s">
        <v>51</v>
      </c>
      <c r="E7" s="5" t="s">
        <v>6</v>
      </c>
      <c r="F7" t="s">
        <v>127</v>
      </c>
      <c r="G7" t="s">
        <v>141</v>
      </c>
    </row>
    <row r="8" spans="1:7" x14ac:dyDescent="0.2">
      <c r="A8" t="s">
        <v>136</v>
      </c>
      <c r="B8" t="s">
        <v>132</v>
      </c>
      <c r="C8">
        <v>15</v>
      </c>
      <c r="D8" t="s">
        <v>135</v>
      </c>
      <c r="E8" s="5" t="s">
        <v>6</v>
      </c>
      <c r="F8" t="s">
        <v>133</v>
      </c>
      <c r="G8" t="s">
        <v>134</v>
      </c>
    </row>
    <row r="9" spans="1:7" x14ac:dyDescent="0.2">
      <c r="A9" t="s">
        <v>128</v>
      </c>
      <c r="B9" t="s">
        <v>129</v>
      </c>
      <c r="C9">
        <v>15</v>
      </c>
      <c r="D9" t="s">
        <v>130</v>
      </c>
      <c r="E9" s="5" t="s">
        <v>6</v>
      </c>
      <c r="F9" t="s">
        <v>138</v>
      </c>
      <c r="G9" t="s">
        <v>137</v>
      </c>
    </row>
    <row r="10" spans="1:7" x14ac:dyDescent="0.2">
      <c r="A10" t="s">
        <v>142</v>
      </c>
      <c r="B10" t="s">
        <v>143</v>
      </c>
      <c r="C10">
        <v>10</v>
      </c>
      <c r="D10" t="s">
        <v>144</v>
      </c>
      <c r="E10" s="5" t="s">
        <v>6</v>
      </c>
      <c r="F10" t="s">
        <v>145</v>
      </c>
      <c r="G10" t="s">
        <v>146</v>
      </c>
    </row>
    <row r="11" spans="1:7" x14ac:dyDescent="0.2">
      <c r="A11" t="s">
        <v>147</v>
      </c>
      <c r="B11" t="s">
        <v>148</v>
      </c>
      <c r="C11">
        <v>10</v>
      </c>
      <c r="D11" t="s">
        <v>149</v>
      </c>
      <c r="E11" s="5" t="s">
        <v>6</v>
      </c>
      <c r="F11" t="s">
        <v>145</v>
      </c>
      <c r="G11" s="8" t="s">
        <v>150</v>
      </c>
    </row>
    <row r="12" spans="1:7" x14ac:dyDescent="0.2">
      <c r="A12" t="s">
        <v>152</v>
      </c>
      <c r="B12" t="s">
        <v>151</v>
      </c>
      <c r="C12">
        <v>10</v>
      </c>
      <c r="D12" t="s">
        <v>149</v>
      </c>
      <c r="E12" s="5" t="s">
        <v>6</v>
      </c>
      <c r="F12" t="s">
        <v>145</v>
      </c>
      <c r="G12" t="s">
        <v>153</v>
      </c>
    </row>
    <row r="13" spans="1:7" x14ac:dyDescent="0.2">
      <c r="A13" t="s">
        <v>155</v>
      </c>
      <c r="B13" t="s">
        <v>154</v>
      </c>
      <c r="C13">
        <v>10</v>
      </c>
      <c r="D13" t="s">
        <v>149</v>
      </c>
      <c r="E13" s="5" t="s">
        <v>6</v>
      </c>
      <c r="F13" t="s">
        <v>145</v>
      </c>
      <c r="G13" t="s">
        <v>156</v>
      </c>
    </row>
    <row r="14" spans="1:7" x14ac:dyDescent="0.2">
      <c r="A14" t="s">
        <v>158</v>
      </c>
      <c r="B14" t="s">
        <v>157</v>
      </c>
      <c r="C14">
        <v>10</v>
      </c>
      <c r="D14" t="s">
        <v>149</v>
      </c>
      <c r="E14" s="5" t="s">
        <v>6</v>
      </c>
      <c r="F14" t="s">
        <v>145</v>
      </c>
      <c r="G14" t="s">
        <v>162</v>
      </c>
    </row>
    <row r="15" spans="1:7" x14ac:dyDescent="0.2">
      <c r="A15" t="s">
        <v>159</v>
      </c>
      <c r="B15" t="s">
        <v>160</v>
      </c>
      <c r="C15">
        <v>10</v>
      </c>
      <c r="D15" t="s">
        <v>149</v>
      </c>
      <c r="E15" s="5" t="s">
        <v>6</v>
      </c>
      <c r="F15" t="s">
        <v>145</v>
      </c>
      <c r="G15" t="s">
        <v>161</v>
      </c>
    </row>
    <row r="16" spans="1:7" x14ac:dyDescent="0.2">
      <c r="A16" t="s">
        <v>163</v>
      </c>
      <c r="B16" t="s">
        <v>164</v>
      </c>
      <c r="C16">
        <v>10</v>
      </c>
      <c r="D16" t="s">
        <v>149</v>
      </c>
      <c r="E16" s="5" t="s">
        <v>6</v>
      </c>
      <c r="F16" t="s">
        <v>145</v>
      </c>
      <c r="G16" t="s">
        <v>165</v>
      </c>
    </row>
    <row r="17" spans="1:7" x14ac:dyDescent="0.2">
      <c r="A17" t="s">
        <v>166</v>
      </c>
      <c r="B17" t="s">
        <v>167</v>
      </c>
      <c r="C17">
        <v>10</v>
      </c>
      <c r="D17" t="s">
        <v>149</v>
      </c>
      <c r="E17" s="5" t="s">
        <v>6</v>
      </c>
      <c r="F17" t="s">
        <v>145</v>
      </c>
      <c r="G17" t="s">
        <v>168</v>
      </c>
    </row>
    <row r="18" spans="1:7" x14ac:dyDescent="0.2">
      <c r="A18" t="s">
        <v>170</v>
      </c>
      <c r="B18" t="s">
        <v>169</v>
      </c>
      <c r="C18">
        <v>10</v>
      </c>
      <c r="D18" t="s">
        <v>149</v>
      </c>
      <c r="E18" s="5" t="s">
        <v>6</v>
      </c>
      <c r="F18" t="s">
        <v>145</v>
      </c>
      <c r="G18" t="s">
        <v>171</v>
      </c>
    </row>
    <row r="19" spans="1:7" x14ac:dyDescent="0.2">
      <c r="A19" t="s">
        <v>173</v>
      </c>
      <c r="B19" t="s">
        <v>172</v>
      </c>
      <c r="C19">
        <v>10</v>
      </c>
      <c r="D19" t="s">
        <v>149</v>
      </c>
      <c r="E19" s="5" t="s">
        <v>6</v>
      </c>
      <c r="F19" t="s">
        <v>145</v>
      </c>
      <c r="G19" t="s">
        <v>174</v>
      </c>
    </row>
    <row r="20" spans="1:7" x14ac:dyDescent="0.2">
      <c r="A20" t="s">
        <v>176</v>
      </c>
      <c r="B20" t="s">
        <v>175</v>
      </c>
      <c r="C20">
        <v>10</v>
      </c>
      <c r="D20" t="s">
        <v>149</v>
      </c>
      <c r="E20" s="5" t="s">
        <v>6</v>
      </c>
      <c r="F20" t="s">
        <v>145</v>
      </c>
      <c r="G20" t="s">
        <v>177</v>
      </c>
    </row>
    <row r="21" spans="1:7" x14ac:dyDescent="0.2">
      <c r="A21" t="s">
        <v>178</v>
      </c>
      <c r="B21" t="s">
        <v>179</v>
      </c>
      <c r="C21">
        <v>10</v>
      </c>
      <c r="D21" t="s">
        <v>149</v>
      </c>
      <c r="E21" s="5" t="s">
        <v>6</v>
      </c>
      <c r="F21" t="s">
        <v>145</v>
      </c>
      <c r="G21" t="s">
        <v>180</v>
      </c>
    </row>
    <row r="22" spans="1:7" x14ac:dyDescent="0.2">
      <c r="A22" t="s">
        <v>198</v>
      </c>
      <c r="B22" t="s">
        <v>197</v>
      </c>
      <c r="C22">
        <v>20</v>
      </c>
      <c r="D22" t="s">
        <v>199</v>
      </c>
      <c r="E22" s="5" t="s">
        <v>6</v>
      </c>
      <c r="F22" s="5" t="s">
        <v>200</v>
      </c>
      <c r="G22" t="s">
        <v>201</v>
      </c>
    </row>
    <row r="23" spans="1:7" x14ac:dyDescent="0.2">
      <c r="A23" t="s">
        <v>202</v>
      </c>
      <c r="B23" t="s">
        <v>203</v>
      </c>
      <c r="C23">
        <v>3</v>
      </c>
      <c r="F23" s="5" t="s">
        <v>200</v>
      </c>
      <c r="G23" t="s">
        <v>208</v>
      </c>
    </row>
    <row r="24" spans="1:7" x14ac:dyDescent="0.2">
      <c r="A24" t="s">
        <v>206</v>
      </c>
      <c r="B24" t="s">
        <v>204</v>
      </c>
      <c r="C24">
        <v>3</v>
      </c>
      <c r="F24" s="5" t="s">
        <v>205</v>
      </c>
      <c r="G24" t="s">
        <v>207</v>
      </c>
    </row>
    <row r="25" spans="1:7" x14ac:dyDescent="0.2">
      <c r="A25" t="s">
        <v>189</v>
      </c>
      <c r="B25" t="s">
        <v>190</v>
      </c>
      <c r="C25">
        <v>10</v>
      </c>
      <c r="D25" t="s">
        <v>191</v>
      </c>
      <c r="E25" s="5" t="s">
        <v>6</v>
      </c>
      <c r="F25" s="5" t="s">
        <v>192</v>
      </c>
      <c r="G25" t="s">
        <v>193</v>
      </c>
    </row>
    <row r="26" spans="1:7" x14ac:dyDescent="0.2">
      <c r="A26" t="s">
        <v>183</v>
      </c>
      <c r="B26" t="s">
        <v>184</v>
      </c>
      <c r="C26">
        <v>10</v>
      </c>
      <c r="D26" t="s">
        <v>181</v>
      </c>
      <c r="E26" s="5" t="s">
        <v>6</v>
      </c>
      <c r="F26" t="s">
        <v>182</v>
      </c>
      <c r="G26" t="s">
        <v>185</v>
      </c>
    </row>
    <row r="27" spans="1:7" x14ac:dyDescent="0.2">
      <c r="A27" t="s">
        <v>194</v>
      </c>
      <c r="B27" t="s">
        <v>195</v>
      </c>
      <c r="C27">
        <v>10</v>
      </c>
      <c r="D27" t="s">
        <v>181</v>
      </c>
      <c r="E27" s="5" t="s">
        <v>6</v>
      </c>
      <c r="F27" s="5" t="s">
        <v>192</v>
      </c>
      <c r="G27" t="s">
        <v>196</v>
      </c>
    </row>
    <row r="28" spans="1:7" x14ac:dyDescent="0.2">
      <c r="A28" t="s">
        <v>23</v>
      </c>
      <c r="B28" t="s">
        <v>24</v>
      </c>
      <c r="C28" s="5">
        <v>3</v>
      </c>
      <c r="D28" s="5" t="s">
        <v>25</v>
      </c>
      <c r="E28" s="5" t="s">
        <v>6</v>
      </c>
      <c r="F28" s="5" t="s">
        <v>26</v>
      </c>
      <c r="G28" t="s">
        <v>27</v>
      </c>
    </row>
    <row r="29" spans="1:7" x14ac:dyDescent="0.2">
      <c r="A29" t="s">
        <v>218</v>
      </c>
      <c r="B29" t="s">
        <v>219</v>
      </c>
      <c r="C29" s="5">
        <v>3</v>
      </c>
      <c r="D29" s="5" t="s">
        <v>75</v>
      </c>
      <c r="E29" s="5" t="s">
        <v>6</v>
      </c>
      <c r="F29" s="5" t="s">
        <v>220</v>
      </c>
      <c r="G29" t="s">
        <v>221</v>
      </c>
    </row>
    <row r="38" spans="1:7" x14ac:dyDescent="0.2">
      <c r="A38" t="s">
        <v>88</v>
      </c>
    </row>
    <row r="40" spans="1:7" x14ac:dyDescent="0.2">
      <c r="A40" t="s">
        <v>210</v>
      </c>
      <c r="B40" t="s">
        <v>209</v>
      </c>
      <c r="C40" s="5">
        <v>18.989999999999998</v>
      </c>
      <c r="D40" t="s">
        <v>33</v>
      </c>
      <c r="E40" t="s">
        <v>35</v>
      </c>
      <c r="F40" t="s">
        <v>212</v>
      </c>
      <c r="G40" t="s">
        <v>211</v>
      </c>
    </row>
    <row r="41" spans="1:7" x14ac:dyDescent="0.2">
      <c r="A41" s="7" t="s">
        <v>89</v>
      </c>
      <c r="B41" t="s">
        <v>90</v>
      </c>
      <c r="C41">
        <v>0</v>
      </c>
      <c r="D41" t="s">
        <v>91</v>
      </c>
      <c r="E41" t="s">
        <v>91</v>
      </c>
      <c r="F41" t="s">
        <v>106</v>
      </c>
      <c r="G41" s="8" t="s">
        <v>92</v>
      </c>
    </row>
    <row r="42" spans="1:7" x14ac:dyDescent="0.2">
      <c r="A42" s="9" t="s">
        <v>93</v>
      </c>
      <c r="B42" t="s">
        <v>95</v>
      </c>
      <c r="C42">
        <v>11.46</v>
      </c>
      <c r="D42" t="s">
        <v>91</v>
      </c>
      <c r="E42" t="s">
        <v>91</v>
      </c>
      <c r="G42" s="8" t="s">
        <v>94</v>
      </c>
    </row>
    <row r="43" spans="1:7" x14ac:dyDescent="0.2">
      <c r="A43" s="7" t="s">
        <v>96</v>
      </c>
      <c r="B43" t="s">
        <v>97</v>
      </c>
      <c r="C43">
        <v>8.65</v>
      </c>
      <c r="D43" t="s">
        <v>91</v>
      </c>
      <c r="E43" t="s">
        <v>91</v>
      </c>
      <c r="G43" s="8" t="s">
        <v>98</v>
      </c>
    </row>
    <row r="44" spans="1:7" x14ac:dyDescent="0.2">
      <c r="A44" s="9" t="s">
        <v>99</v>
      </c>
      <c r="B44" t="s">
        <v>100</v>
      </c>
      <c r="C44">
        <v>0</v>
      </c>
      <c r="D44" t="s">
        <v>91</v>
      </c>
      <c r="E44" t="s">
        <v>91</v>
      </c>
      <c r="F44" t="s">
        <v>105</v>
      </c>
      <c r="G44" s="8" t="s">
        <v>101</v>
      </c>
    </row>
    <row r="45" spans="1:7" x14ac:dyDescent="0.2">
      <c r="A45" s="9" t="s">
        <v>102</v>
      </c>
      <c r="B45" s="7" t="s">
        <v>103</v>
      </c>
      <c r="C45">
        <v>6.67</v>
      </c>
      <c r="D45" t="s">
        <v>91</v>
      </c>
      <c r="E45" t="s">
        <v>91</v>
      </c>
      <c r="G45" s="8" t="s">
        <v>104</v>
      </c>
    </row>
    <row r="46" spans="1:7" x14ac:dyDescent="0.2">
      <c r="A46" s="7" t="s">
        <v>214</v>
      </c>
      <c r="B46" t="s">
        <v>215</v>
      </c>
      <c r="C46">
        <v>19.21</v>
      </c>
      <c r="D46" t="s">
        <v>91</v>
      </c>
      <c r="E46" t="s">
        <v>91</v>
      </c>
      <c r="F46" t="s">
        <v>216</v>
      </c>
      <c r="G46" t="s">
        <v>213</v>
      </c>
    </row>
    <row r="48" spans="1:7" x14ac:dyDescent="0.2">
      <c r="B48" t="s">
        <v>108</v>
      </c>
      <c r="C48">
        <f>SUM(C39:C46)</f>
        <v>64.98</v>
      </c>
    </row>
    <row r="51" spans="1:7" x14ac:dyDescent="0.2">
      <c r="A51" t="s">
        <v>109</v>
      </c>
    </row>
    <row r="52" spans="1:7" x14ac:dyDescent="0.2">
      <c r="A52" t="s">
        <v>28</v>
      </c>
      <c r="B52" t="s">
        <v>30</v>
      </c>
      <c r="C52" s="5">
        <v>98.9</v>
      </c>
      <c r="D52" s="5" t="s">
        <v>29</v>
      </c>
      <c r="E52" s="5" t="s">
        <v>29</v>
      </c>
      <c r="F52" s="5" t="s">
        <v>37</v>
      </c>
      <c r="G52" t="s">
        <v>31</v>
      </c>
    </row>
    <row r="53" spans="1:7" x14ac:dyDescent="0.2">
      <c r="A53" t="s">
        <v>33</v>
      </c>
      <c r="B53" t="s">
        <v>32</v>
      </c>
      <c r="C53" s="5">
        <v>17.47</v>
      </c>
      <c r="D53" s="5" t="s">
        <v>34</v>
      </c>
      <c r="E53" s="5" t="s">
        <v>35</v>
      </c>
      <c r="F53" t="s">
        <v>107</v>
      </c>
      <c r="G53" t="s">
        <v>36</v>
      </c>
    </row>
    <row r="56" spans="1:7" x14ac:dyDescent="0.2">
      <c r="A56" t="s">
        <v>110</v>
      </c>
    </row>
    <row r="57" spans="1:7" ht="16" x14ac:dyDescent="0.2">
      <c r="A57" s="1" t="s">
        <v>40</v>
      </c>
      <c r="B57" s="3" t="s">
        <v>41</v>
      </c>
      <c r="C57">
        <v>2.64</v>
      </c>
      <c r="D57" t="s">
        <v>42</v>
      </c>
      <c r="E57" t="s">
        <v>6</v>
      </c>
      <c r="F57" t="s">
        <v>43</v>
      </c>
      <c r="G57" t="s">
        <v>45</v>
      </c>
    </row>
    <row r="58" spans="1:7" x14ac:dyDescent="0.2">
      <c r="A58" t="s">
        <v>49</v>
      </c>
      <c r="B58" t="s">
        <v>50</v>
      </c>
      <c r="C58">
        <v>1.31</v>
      </c>
      <c r="D58" t="s">
        <v>51</v>
      </c>
      <c r="E58" t="s">
        <v>6</v>
      </c>
      <c r="F58" t="s">
        <v>15</v>
      </c>
      <c r="G58" t="s">
        <v>52</v>
      </c>
    </row>
    <row r="59" spans="1:7" ht="16" x14ac:dyDescent="0.2">
      <c r="A59" t="s">
        <v>58</v>
      </c>
      <c r="B59" s="4" t="s">
        <v>59</v>
      </c>
      <c r="C59">
        <v>3.31</v>
      </c>
      <c r="D59" t="s">
        <v>16</v>
      </c>
      <c r="E59" t="s">
        <v>6</v>
      </c>
      <c r="F59" t="s">
        <v>17</v>
      </c>
      <c r="G59" t="s">
        <v>60</v>
      </c>
    </row>
    <row r="60" spans="1:7" x14ac:dyDescent="0.2">
      <c r="A60" t="s">
        <v>73</v>
      </c>
      <c r="B60" t="s">
        <v>74</v>
      </c>
      <c r="C60" s="5">
        <v>0.32</v>
      </c>
      <c r="D60" t="s">
        <v>75</v>
      </c>
      <c r="E60" s="5" t="s">
        <v>6</v>
      </c>
      <c r="F60" s="5" t="s">
        <v>87</v>
      </c>
      <c r="G60" t="s">
        <v>76</v>
      </c>
    </row>
    <row r="61" spans="1:7" x14ac:dyDescent="0.2">
      <c r="A61" s="6" t="s">
        <v>85</v>
      </c>
      <c r="B61" t="s">
        <v>84</v>
      </c>
      <c r="C61" s="5">
        <v>0.76</v>
      </c>
      <c r="D61" t="s">
        <v>77</v>
      </c>
      <c r="E61" s="5" t="s">
        <v>6</v>
      </c>
      <c r="F61" s="5" t="s">
        <v>78</v>
      </c>
      <c r="G61" t="s">
        <v>86</v>
      </c>
    </row>
    <row r="62" spans="1:7" x14ac:dyDescent="0.2">
      <c r="A62" s="6" t="s">
        <v>79</v>
      </c>
      <c r="B62" t="s">
        <v>80</v>
      </c>
      <c r="C62" s="5">
        <v>0.61</v>
      </c>
      <c r="D62" t="s">
        <v>81</v>
      </c>
      <c r="E62" s="5" t="s">
        <v>6</v>
      </c>
      <c r="F62" s="5" t="s">
        <v>82</v>
      </c>
      <c r="G62" t="s">
        <v>83</v>
      </c>
    </row>
    <row r="63" spans="1:7" x14ac:dyDescent="0.2">
      <c r="A63" t="s">
        <v>111</v>
      </c>
      <c r="B63" t="s">
        <v>112</v>
      </c>
      <c r="C63">
        <v>2.4</v>
      </c>
      <c r="D63" t="s">
        <v>113</v>
      </c>
      <c r="E63" s="5" t="s">
        <v>6</v>
      </c>
      <c r="G63" t="s">
        <v>114</v>
      </c>
    </row>
    <row r="64" spans="1:7" x14ac:dyDescent="0.2">
      <c r="A64" t="s">
        <v>115</v>
      </c>
      <c r="B64" t="s">
        <v>116</v>
      </c>
      <c r="C64">
        <v>2.4</v>
      </c>
      <c r="D64" t="s">
        <v>113</v>
      </c>
      <c r="E64" s="5" t="s">
        <v>6</v>
      </c>
      <c r="G64" t="s">
        <v>117</v>
      </c>
    </row>
    <row r="65" spans="1:7" x14ac:dyDescent="0.2">
      <c r="A65" t="s">
        <v>118</v>
      </c>
      <c r="B65" t="s">
        <v>119</v>
      </c>
      <c r="C65">
        <v>1.25</v>
      </c>
      <c r="D65" t="s">
        <v>120</v>
      </c>
      <c r="E65" s="5" t="s">
        <v>6</v>
      </c>
      <c r="G65" t="s">
        <v>121</v>
      </c>
    </row>
    <row r="66" spans="1:7" x14ac:dyDescent="0.2">
      <c r="A66" t="s">
        <v>122</v>
      </c>
      <c r="B66" t="s">
        <v>123</v>
      </c>
      <c r="C66">
        <f>12*1.07</f>
        <v>12.84</v>
      </c>
      <c r="D66" t="s">
        <v>124</v>
      </c>
      <c r="E66" s="5" t="s">
        <v>6</v>
      </c>
      <c r="F66" t="s">
        <v>125</v>
      </c>
      <c r="G66" t="s">
        <v>126</v>
      </c>
    </row>
    <row r="67" spans="1:7" x14ac:dyDescent="0.2">
      <c r="A67" t="s">
        <v>53</v>
      </c>
      <c r="B67" t="s">
        <v>54</v>
      </c>
      <c r="C67" s="5">
        <v>0.49</v>
      </c>
      <c r="D67" t="s">
        <v>55</v>
      </c>
      <c r="E67" s="5" t="s">
        <v>6</v>
      </c>
      <c r="F67" s="5" t="s">
        <v>56</v>
      </c>
      <c r="G67" t="s">
        <v>57</v>
      </c>
    </row>
    <row r="68" spans="1:7" ht="16" x14ac:dyDescent="0.2">
      <c r="A68" s="2" t="s">
        <v>46</v>
      </c>
      <c r="B68" s="3" t="s">
        <v>47</v>
      </c>
      <c r="C68">
        <v>0.59</v>
      </c>
      <c r="D68" t="s">
        <v>14</v>
      </c>
      <c r="E68" t="s">
        <v>6</v>
      </c>
      <c r="F68" t="s">
        <v>44</v>
      </c>
      <c r="G68" t="s">
        <v>48</v>
      </c>
    </row>
  </sheetData>
  <hyperlinks>
    <hyperlink ref="G41" r:id="rId1" display="https://www.mcmaster.com/91292A135/" xr:uid="{7334EC75-6342-445C-A96C-06808F2CD055}"/>
    <hyperlink ref="G42" r:id="rId2" display="https://www.mcmaster.com/9657K547/" xr:uid="{CF716678-12FD-44AF-BCFB-45EC9E0D80D5}"/>
    <hyperlink ref="G43" r:id="rId3" display="https://www.mcmaster.com/91287A264/" xr:uid="{19C2BF17-27EB-4E22-B80E-0C63CEC75758}"/>
    <hyperlink ref="G44" r:id="rId4" display="https://www.mcmaster.com/91828A251/" xr:uid="{C9D0A798-D251-4109-94EE-B6185DA4383D}"/>
    <hyperlink ref="G45" r:id="rId5" display="https://www.mcmaster.com/95211A160/" xr:uid="{8FBD35C9-F5A9-4915-9961-92782CE2FF82}"/>
    <hyperlink ref="G11" r:id="rId6" xr:uid="{03EAF21A-DC7A-4DE6-A00D-2966852E1658}"/>
    <hyperlink ref="G5" r:id="rId7" xr:uid="{CDAD9C82-015E-4C08-9938-172C16F564D1}"/>
    <hyperlink ref="G4" r:id="rId8" xr:uid="{30D0255B-D5F6-4E14-8378-EAD8557DAEA0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C9B9-9062-E94D-AEB2-383928DA387D}">
  <dimension ref="A1:A5"/>
  <sheetViews>
    <sheetView workbookViewId="0">
      <selection activeCell="A6" sqref="A6"/>
    </sheetView>
  </sheetViews>
  <sheetFormatPr baseColWidth="10" defaultColWidth="11.5" defaultRowHeight="15" x14ac:dyDescent="0.2"/>
  <cols>
    <col min="1" max="1" width="27.83203125" customWidth="1"/>
  </cols>
  <sheetData>
    <row r="1" spans="1:1" x14ac:dyDescent="0.2">
      <c r="A1" t="s">
        <v>7</v>
      </c>
    </row>
    <row r="2" spans="1:1" x14ac:dyDescent="0.2">
      <c r="A2" t="s">
        <v>8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 Heath</dc:creator>
  <cp:lastModifiedBy>John Elliott Heath</cp:lastModifiedBy>
  <dcterms:created xsi:type="dcterms:W3CDTF">2025-12-24T00:07:21Z</dcterms:created>
  <dcterms:modified xsi:type="dcterms:W3CDTF">2026-01-27T00:17:22Z</dcterms:modified>
</cp:coreProperties>
</file>