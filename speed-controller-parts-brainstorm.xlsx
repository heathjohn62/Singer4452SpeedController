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ffice365stanford-my.sharepoint.com/personal/jheath_stanford_edu/Documents/nonsense/sewing/singer4452-speed-controller/"/>
    </mc:Choice>
  </mc:AlternateContent>
  <xr:revisionPtr revIDLastSave="937" documentId="8_{CF98681D-D789-4D86-96CC-69D7BE0CF994}" xr6:coauthVersionLast="47" xr6:coauthVersionMax="47" xr10:uidLastSave="{BE5D9E57-54E9-449F-BEAC-FF1BEAD60983}"/>
  <bookViews>
    <workbookView xWindow="18840" yWindow="1440" windowWidth="29760" windowHeight="19035" xr2:uid="{55063511-F0A8-42A5-8409-EFE34AF8E3D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  <c r="D19" i="1"/>
</calcChain>
</file>

<file path=xl/sharedStrings.xml><?xml version="1.0" encoding="utf-8"?>
<sst xmlns="http://schemas.openxmlformats.org/spreadsheetml/2006/main" count="144" uniqueCount="116">
  <si>
    <t>MFG</t>
  </si>
  <si>
    <t>Supplier</t>
  </si>
  <si>
    <t>Link</t>
  </si>
  <si>
    <t>Description</t>
  </si>
  <si>
    <t>Notes</t>
  </si>
  <si>
    <t>Digikey</t>
  </si>
  <si>
    <t>Feautures</t>
  </si>
  <si>
    <t xml:space="preserve">Bluetooth On/Off mechanical switch. </t>
  </si>
  <si>
    <t>volume control</t>
  </si>
  <si>
    <t>noise cancellation control?</t>
  </si>
  <si>
    <t xml:space="preserve">Swappable battery - recharge battery externally. </t>
  </si>
  <si>
    <t>Lite-On Inc.</t>
  </si>
  <si>
    <t>Isolated Zero Crossing Detector</t>
  </si>
  <si>
    <t>Allegro Microsystems</t>
  </si>
  <si>
    <t>Current Sensor (If implementing current feedback)</t>
  </si>
  <si>
    <t>L1000 Potentiometer Foot Pedals</t>
  </si>
  <si>
    <t>The SSC Controls Company</t>
  </si>
  <si>
    <t>1kOhm Pot Foot Pedal</t>
  </si>
  <si>
    <t>https://ssccontrols.com/product/l1000-potentiometer-foot-pedals/?srsltid=AfmBOoqsr6aOKZsohCI9cj2Y0A9bZh-WNVlewUzPr7vM35dKn4nZnCqYjzM</t>
  </si>
  <si>
    <t>Foot Pedal Power Cord Replacement for Singer Sewing Machine, D Shape Plug Compatible with Singer 4452 4432 4423 4411 5554 5532 5523 5511 m1150 m1500 m2100(359102-001)</t>
  </si>
  <si>
    <t>NA</t>
  </si>
  <si>
    <t>POANES</t>
  </si>
  <si>
    <t>Amazon</t>
  </si>
  <si>
    <t>https://www.amazon.com/POANES-Replacement-Machine-Compatible-359102-001/dp/B0C5MBTQH7/ref=sr_1_5?crid=GOTZ1LX0K8LA&amp;dib=eyJ2IjoiMSJ9.Lx4kAURc9eP1leE_Ab4YPMODSA1pn48UR6GUiCNIvqDMUg3aIRS4Ws8lwTLYFTRmxlR2fAM4eooUVmJ6QpGgPnD4nXzPJeUURCMYxhxI7pQfBf6CMzm-AUaZ8g39RFNUkcanrcyHaNyHoLmD7bDlCXmre6yqEVO5nHJRl0cHYYEgcHo8B461EIPEpFaJaHA_DlDE22YtU2cAU8uRA0jthnvV5MOS25yayf6i9Us1OQPm0iyFh21N82wXPgVniIz_jlM93na3cC52hO4sH2sTqMTwKx7FeUEr4HdVfgWCImU.YMw8-P_tNAy25zZEsA4Ur_n2BqoEXlHPK50ZxCiwTBo&amp;dib_tag=se&amp;keywords=singer%2B4452%2Bfoot%2Bpedal&amp;qid=1767842447&amp;sprefix=singer%2B4452%2Bfoot%2Bpedal%2Caps%2C169&amp;sr=8-5&amp;th=1</t>
  </si>
  <si>
    <t xml:space="preserve">If using setup from scratch, might be able to modify singer board to avoid purchase. </t>
  </si>
  <si>
    <t>BTA24-600BWRG</t>
  </si>
  <si>
    <t>TRIAC Alternistor - Snubberless 600 V 25 A Through Hole TO-220</t>
  </si>
  <si>
    <t>STMicroelectronics</t>
  </si>
  <si>
    <t>Triac</t>
  </si>
  <si>
    <t>Triac Controller</t>
  </si>
  <si>
    <t>https://www.digikey.com/en/products/detail/stmicroelectronics/BTA24-600BWRG/654431</t>
  </si>
  <si>
    <t>MOC3023</t>
  </si>
  <si>
    <t>Optoisolator Triac Output 5000Vrms 1 Channel 6-DIP</t>
  </si>
  <si>
    <t>https://www.digikey.com/en/products/detail/liteon/MOC3023/385848</t>
  </si>
  <si>
    <t>H11AA1</t>
  </si>
  <si>
    <t>Optoisolator Transistor with Base Output 5300Vrms 1 Channel 6-DIP</t>
  </si>
  <si>
    <t>Vishay</t>
  </si>
  <si>
    <t>https://www.digikey.com/en/products/detail/vishay-semiconductor-opto-division/H11AA1/1731509</t>
  </si>
  <si>
    <t>B32921C3223K000</t>
  </si>
  <si>
    <t>0.022 µF Film Capacitor 305V 630V Polypropylene (PP) Radial</t>
  </si>
  <si>
    <t>EPCOS - TDK Electronics</t>
  </si>
  <si>
    <t>Snubber Capacitor for Triac network, X2 Rated</t>
  </si>
  <si>
    <t>https://www.digikey.com/en/products/detail/epcos-tdk-electronics/B32921C3223K000/3492410</t>
  </si>
  <si>
    <t>ACS725LLCTR-20AB-T</t>
  </si>
  <si>
    <t>CURRENT SEN HE/DIFF 20A 8-SOIC</t>
  </si>
  <si>
    <t>https://www.digikey.com/en/products/detail/allegro-microsystems/ACS725LLCTR-20AB-T/5175293?s=N4IgTCBcDaIIIGEDKB2MBWAMphAVASgLRgAMcAQobiALoC%2BQA</t>
  </si>
  <si>
    <t>MOV-14D471K</t>
  </si>
  <si>
    <t>470 V 4.5 kA Varistor 1 Circuit Through Hole Disc 14mm</t>
  </si>
  <si>
    <t>Bourns</t>
  </si>
  <si>
    <t>https://www.digikey.com/en/products/detail/bourns-inc/MOV-14D471K/2799087</t>
  </si>
  <si>
    <t>SCHURTER Inc.</t>
  </si>
  <si>
    <t>for protection, in series with motor.</t>
  </si>
  <si>
    <t>696108003002</t>
  </si>
  <si>
    <t>Fuse Block 20 A 250V 1 Circuit Cartridge Through Hole</t>
  </si>
  <si>
    <t>Würth Elektronik</t>
  </si>
  <si>
    <t>Fuse Holder</t>
  </si>
  <si>
    <t>https://www.digikey.com/en/products/detail/w%C3%BCrth-elektronik/696108003002/7244560</t>
  </si>
  <si>
    <t>2.5 A 250 V Fuse Cartridge, Glass Requires Holder 5mm x 20mm</t>
  </si>
  <si>
    <t>34.3121</t>
  </si>
  <si>
    <t>https://www.digikey.com/en/products/detail/schurter-inc/0034-3121/639680</t>
  </si>
  <si>
    <t>Protects motor from transients, in parallel with motor, shorts on overvoltage</t>
  </si>
  <si>
    <t>Enclosure Parts</t>
  </si>
  <si>
    <t>91292A135</t>
  </si>
  <si>
    <t>18-8 Stainless Steel Socket Head Screw, M6, 16mm long, pack of 50</t>
  </si>
  <si>
    <t>Mcmaster Carr</t>
  </si>
  <si>
    <t>18-8 Stainless Steel Socket Head Screw, M6 x 1 mm Thread, 16 mm Long | McMaster-Carr</t>
  </si>
  <si>
    <t>9657K547</t>
  </si>
  <si>
    <t>Compression Spring, 3" Long, 1.225" OD, 1.055" ID | McMaster-Carr</t>
  </si>
  <si>
    <t>Compression Spring, 3" Long, 1.225" OD, 1.055" ID, Spring Steel, pack of 6</t>
  </si>
  <si>
    <t>91287A264</t>
  </si>
  <si>
    <t>18-8 Stainless Steel Hex Head Screw, M6 x 1mm Part Thread, 130mm Long, pack of 5</t>
  </si>
  <si>
    <t>18-8 Stainless Steel Hex Head Screw, Made in The U.S., M6 x 1mm Part Thread, 130mm Long | McMaster-Carr</t>
  </si>
  <si>
    <t>91828A251</t>
  </si>
  <si>
    <t>Corrosion-Resistant 18-8 Stainless Steel Hex Nut, M6 x 1 mm Thread Size, pack of 100</t>
  </si>
  <si>
    <t>Corrosion-Resistant 18-8 Stainless Steel Hex Nut, M6 x 1 mm Thread Size | McMaster-Carr</t>
  </si>
  <si>
    <t>95211A160</t>
  </si>
  <si>
    <t xml:space="preserve"> 316 Stainless Steel Oversized Washer for M6 Screw Size, 6.4 mm ID, 18.0 mm OD, Pack of 25</t>
  </si>
  <si>
    <t>Super-Corrosion-Resistant 316 Stainless Steel Oversized Washer, for M6 Screw Size, 6.4 mm ID, 18.0 mm OD | McMaster-Carr</t>
  </si>
  <si>
    <t xml:space="preserve">I have some of these, so not ordering. </t>
  </si>
  <si>
    <t xml:space="preserve">I have similar screws, so not ordering for now. </t>
  </si>
  <si>
    <t xml:space="preserve">I need this for the power cord, at least. </t>
  </si>
  <si>
    <t>Enclosure cost</t>
  </si>
  <si>
    <t>Foot pedal alternative</t>
  </si>
  <si>
    <t>Archived parts</t>
  </si>
  <si>
    <t>AD5160BRJZ100-RL7</t>
  </si>
  <si>
    <t>Digital Potentiometer 100k Ohm 1 Circuit 256 Taps SPI Interface SOT-23-8</t>
  </si>
  <si>
    <t>Analog Devices</t>
  </si>
  <si>
    <t>https://www.digikey.com/en/products/detail/analog-devices-inc/AD5160BRJZ100-RL7/760517</t>
  </si>
  <si>
    <t>AD5160BRJZ5-RL7</t>
  </si>
  <si>
    <t>Digital Potentiometer 5k Ohm 1 Circuit 256 Taps SPI Interface SOT-23-8</t>
  </si>
  <si>
    <t>https://www.digikey.com/en/products/detail/analog-devices-inc/AD5160BRJZ5-RL7/995798</t>
  </si>
  <si>
    <t>NX3L4051PW,118</t>
  </si>
  <si>
    <t>1 Circuit IC Switch 8:1 750mOhm 16-TSSOP</t>
  </si>
  <si>
    <t>NXP USA</t>
  </si>
  <si>
    <t>https://www.digikey.com/en/products/detail/nxp-usa-inc/NX3L4051PW-118/3679433</t>
  </si>
  <si>
    <t>BT136-600E,127</t>
  </si>
  <si>
    <t>TRIAC Logic - Sensitive Gate 600 V 4 A Through Hole TO-220AB</t>
  </si>
  <si>
    <t>WeEn Semiconductors</t>
  </si>
  <si>
    <t>Triac for switching (I need 12)</t>
  </si>
  <si>
    <t>https://www.digikey.com/en/products/detail/ween-semiconductors/BT136-600E-127/1155125</t>
  </si>
  <si>
    <t>S6302RS Bearing 15x42x13mm 440C Stainless Steel S6302-2RS Stainless Steel Ball Bearings ABEC-3 Rubber Sealed Pick of 4PC</t>
  </si>
  <si>
    <t>S6302-RS</t>
  </si>
  <si>
    <t>https://www.amazon.com/gp/product/B08FWNC43J/ref=ox_sc_act_title_1?smid=A8J4T7DYUXCDU&amp;psc=1</t>
  </si>
  <si>
    <t>I only need one, had to get 4</t>
  </si>
  <si>
    <t>https://www.mcmaster.com/5652N161/</t>
  </si>
  <si>
    <t>5652N161</t>
  </si>
  <si>
    <t>Fabric-Reinforced Multipurpose Neoprene Strip with Adhesive-Back, High-Strength, 2" x 36", 1/16" Thick</t>
  </si>
  <si>
    <t xml:space="preserve">Used as a gasket between split-clamp collar and sewing machine wheel. </t>
  </si>
  <si>
    <t>Qnty</t>
  </si>
  <si>
    <t>MFG #</t>
  </si>
  <si>
    <t>Digikey #</t>
  </si>
  <si>
    <t>Chassis Box - 1590XX, Diecast, 5.72" x 4.77" x 1.55"</t>
  </si>
  <si>
    <t>Amplified Parts</t>
  </si>
  <si>
    <t xml:space="preserve"> </t>
  </si>
  <si>
    <t>https://www.amplifiedparts.com/products/chassis-box-1590xx-diecast-572-x-477-x-155</t>
  </si>
  <si>
    <t>P-H1590XXCE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</si>
</sst>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2"/>
      <color rgb="FF333333"/>
      <name val="Arial"/>
      <family val="2"/>
    </font>
    <font>
      <sz val="12"/>
      <color rgb="FF333333"/>
      <name val="Arial"/>
      <family val="2"/>
    </font>
    <font>
      <sz val="12"/>
      <color rgb="FF444444"/>
      <name val="Arial"/>
      <family val="2"/>
    </font>
    <font>
      <sz val="11"/>
      <color theme="1"/>
      <name val="Aptos Narrow"/>
      <scheme val="minor"/>
    </font>
    <font>
      <sz val="9"/>
      <color rgb="FF333333"/>
      <name val="Arial"/>
      <family val="2"/>
    </font>
    <font>
      <u/>
      <sz val="11"/>
      <color theme="10"/>
      <name val="Aptos Narrow"/>
      <family val="2"/>
      <scheme val="minor"/>
    </font>
    <font>
      <sz val="9"/>
      <color rgb="FF333333"/>
      <name val="Arial"/>
      <family val="2"/>
    </font>
    <font>
      <sz val="9"/>
      <color rgb="FF222222"/>
      <name val="Arial"/>
      <family val="2"/>
    </font>
    <font>
      <sz val="13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/>
    <xf numFmtId="0" fontId="0" fillId="0" borderId="0" xfId="0" quotePrefix="1"/>
    <xf numFmtId="0" fontId="5" fillId="0" borderId="0" xfId="0" applyFont="1"/>
    <xf numFmtId="0" fontId="6" fillId="0" borderId="0" xfId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91287A264/" TargetMode="External"/><Relationship Id="rId2" Type="http://schemas.openxmlformats.org/officeDocument/2006/relationships/hyperlink" Target="https://www.mcmaster.com/9657K547/" TargetMode="External"/><Relationship Id="rId1" Type="http://schemas.openxmlformats.org/officeDocument/2006/relationships/hyperlink" Target="https://www.mcmaster.com/91292A135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mcmaster.com/95211A160/" TargetMode="External"/><Relationship Id="rId4" Type="http://schemas.openxmlformats.org/officeDocument/2006/relationships/hyperlink" Target="https://www.mcmaster.com/91828A25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6C5EF-C139-4DB8-9C18-69360E79681B}">
  <dimension ref="A1:H39"/>
  <sheetViews>
    <sheetView tabSelected="1" zoomScale="125" workbookViewId="0">
      <selection activeCell="B8" sqref="B8"/>
    </sheetView>
  </sheetViews>
  <sheetFormatPr defaultColWidth="8.85546875" defaultRowHeight="15" x14ac:dyDescent="0.25"/>
  <cols>
    <col min="1" max="1" width="27.85546875" customWidth="1"/>
    <col min="2" max="2" width="29" customWidth="1"/>
    <col min="3" max="3" width="83" customWidth="1"/>
    <col min="5" max="5" width="26.140625" customWidth="1"/>
    <col min="6" max="6" width="27.42578125" customWidth="1"/>
    <col min="7" max="7" width="54.5703125" customWidth="1"/>
  </cols>
  <sheetData>
    <row r="1" spans="1:8" x14ac:dyDescent="0.25">
      <c r="A1" t="s">
        <v>109</v>
      </c>
      <c r="B1" t="s">
        <v>110</v>
      </c>
      <c r="C1" t="s">
        <v>3</v>
      </c>
      <c r="D1" t="s">
        <v>108</v>
      </c>
      <c r="E1" t="s">
        <v>0</v>
      </c>
      <c r="F1" t="s">
        <v>1</v>
      </c>
      <c r="G1" t="s">
        <v>4</v>
      </c>
      <c r="H1" t="s">
        <v>2</v>
      </c>
    </row>
    <row r="2" spans="1:8" ht="15.75" x14ac:dyDescent="0.25">
      <c r="C2" s="3"/>
      <c r="D2" s="5"/>
      <c r="E2" s="5"/>
      <c r="F2" s="5"/>
      <c r="G2" s="5"/>
    </row>
    <row r="3" spans="1:8" ht="15.75" customHeight="1" x14ac:dyDescent="0.25">
      <c r="A3" s="5"/>
      <c r="C3" s="5"/>
      <c r="D3" s="5"/>
      <c r="F3" s="5"/>
      <c r="H3" s="5"/>
    </row>
    <row r="4" spans="1:8" x14ac:dyDescent="0.25">
      <c r="A4" s="10"/>
      <c r="C4" s="10"/>
      <c r="D4" s="5"/>
      <c r="F4" s="5"/>
      <c r="H4" s="8"/>
    </row>
    <row r="5" spans="1:8" x14ac:dyDescent="0.25">
      <c r="A5" s="10"/>
      <c r="C5" s="10"/>
      <c r="D5" s="5"/>
      <c r="F5" s="5"/>
      <c r="G5" s="5"/>
      <c r="H5" s="8"/>
    </row>
    <row r="6" spans="1:8" x14ac:dyDescent="0.25">
      <c r="A6" t="s">
        <v>61</v>
      </c>
      <c r="F6" s="5"/>
      <c r="G6" s="5"/>
    </row>
    <row r="7" spans="1:8" ht="16.5" x14ac:dyDescent="0.25">
      <c r="A7" s="11" t="s">
        <v>115</v>
      </c>
      <c r="B7" t="s">
        <v>20</v>
      </c>
      <c r="C7" t="s">
        <v>111</v>
      </c>
      <c r="D7">
        <v>12.59</v>
      </c>
      <c r="E7" t="s">
        <v>112</v>
      </c>
      <c r="F7" t="s">
        <v>112</v>
      </c>
      <c r="H7" t="s">
        <v>114</v>
      </c>
    </row>
    <row r="8" spans="1:8" x14ac:dyDescent="0.25">
      <c r="E8" t="s">
        <v>113</v>
      </c>
    </row>
    <row r="11" spans="1:8" x14ac:dyDescent="0.25">
      <c r="A11" t="s">
        <v>101</v>
      </c>
      <c r="C11" t="s">
        <v>100</v>
      </c>
      <c r="D11" s="5">
        <v>18.989999999999998</v>
      </c>
      <c r="E11" t="s">
        <v>20</v>
      </c>
      <c r="F11" t="s">
        <v>22</v>
      </c>
      <c r="G11" t="s">
        <v>103</v>
      </c>
      <c r="H11" t="s">
        <v>102</v>
      </c>
    </row>
    <row r="12" spans="1:8" x14ac:dyDescent="0.25">
      <c r="A12" s="7" t="s">
        <v>62</v>
      </c>
      <c r="C12" t="s">
        <v>63</v>
      </c>
      <c r="D12">
        <v>0</v>
      </c>
      <c r="E12" t="s">
        <v>64</v>
      </c>
      <c r="F12" t="s">
        <v>64</v>
      </c>
      <c r="G12" t="s">
        <v>79</v>
      </c>
      <c r="H12" s="8" t="s">
        <v>65</v>
      </c>
    </row>
    <row r="13" spans="1:8" x14ac:dyDescent="0.25">
      <c r="A13" s="9" t="s">
        <v>66</v>
      </c>
      <c r="C13" t="s">
        <v>68</v>
      </c>
      <c r="D13">
        <v>11.46</v>
      </c>
      <c r="E13" t="s">
        <v>64</v>
      </c>
      <c r="F13" t="s">
        <v>64</v>
      </c>
      <c r="H13" s="8" t="s">
        <v>67</v>
      </c>
    </row>
    <row r="14" spans="1:8" x14ac:dyDescent="0.25">
      <c r="A14" s="7" t="s">
        <v>69</v>
      </c>
      <c r="C14" t="s">
        <v>70</v>
      </c>
      <c r="D14">
        <v>8.65</v>
      </c>
      <c r="E14" t="s">
        <v>64</v>
      </c>
      <c r="F14" t="s">
        <v>64</v>
      </c>
      <c r="H14" s="8" t="s">
        <v>71</v>
      </c>
    </row>
    <row r="15" spans="1:8" x14ac:dyDescent="0.25">
      <c r="A15" s="9" t="s">
        <v>72</v>
      </c>
      <c r="C15" t="s">
        <v>73</v>
      </c>
      <c r="D15">
        <v>0</v>
      </c>
      <c r="E15" t="s">
        <v>64</v>
      </c>
      <c r="F15" t="s">
        <v>64</v>
      </c>
      <c r="G15" t="s">
        <v>78</v>
      </c>
      <c r="H15" s="8" t="s">
        <v>74</v>
      </c>
    </row>
    <row r="16" spans="1:8" x14ac:dyDescent="0.25">
      <c r="A16" s="9" t="s">
        <v>75</v>
      </c>
      <c r="C16" s="7" t="s">
        <v>76</v>
      </c>
      <c r="D16">
        <v>6.67</v>
      </c>
      <c r="E16" t="s">
        <v>64</v>
      </c>
      <c r="F16" t="s">
        <v>64</v>
      </c>
      <c r="H16" s="8" t="s">
        <v>77</v>
      </c>
    </row>
    <row r="17" spans="1:8" x14ac:dyDescent="0.25">
      <c r="A17" s="7" t="s">
        <v>105</v>
      </c>
      <c r="C17" t="s">
        <v>106</v>
      </c>
      <c r="D17">
        <v>19.21</v>
      </c>
      <c r="E17" t="s">
        <v>64</v>
      </c>
      <c r="F17" t="s">
        <v>64</v>
      </c>
      <c r="G17" t="s">
        <v>107</v>
      </c>
      <c r="H17" t="s">
        <v>104</v>
      </c>
    </row>
    <row r="19" spans="1:8" x14ac:dyDescent="0.25">
      <c r="C19" t="s">
        <v>81</v>
      </c>
      <c r="D19">
        <f>SUM(D10:D17)</f>
        <v>64.98</v>
      </c>
    </row>
    <row r="22" spans="1:8" x14ac:dyDescent="0.25">
      <c r="A22" t="s">
        <v>82</v>
      </c>
    </row>
    <row r="23" spans="1:8" x14ac:dyDescent="0.25">
      <c r="A23" t="s">
        <v>15</v>
      </c>
      <c r="C23" t="s">
        <v>17</v>
      </c>
      <c r="D23" s="5">
        <v>98.9</v>
      </c>
      <c r="E23" s="5" t="s">
        <v>16</v>
      </c>
      <c r="F23" s="5" t="s">
        <v>16</v>
      </c>
      <c r="G23" s="5" t="s">
        <v>24</v>
      </c>
      <c r="H23" t="s">
        <v>18</v>
      </c>
    </row>
    <row r="24" spans="1:8" x14ac:dyDescent="0.25">
      <c r="A24" t="s">
        <v>20</v>
      </c>
      <c r="C24" t="s">
        <v>19</v>
      </c>
      <c r="D24" s="5">
        <v>17.47</v>
      </c>
      <c r="E24" s="5" t="s">
        <v>21</v>
      </c>
      <c r="F24" s="5" t="s">
        <v>22</v>
      </c>
      <c r="G24" t="s">
        <v>80</v>
      </c>
      <c r="H24" t="s">
        <v>23</v>
      </c>
    </row>
    <row r="27" spans="1:8" x14ac:dyDescent="0.25">
      <c r="A27" t="s">
        <v>83</v>
      </c>
    </row>
    <row r="28" spans="1:8" ht="15.75" x14ac:dyDescent="0.25">
      <c r="A28" s="1" t="s">
        <v>25</v>
      </c>
      <c r="C28" s="3" t="s">
        <v>26</v>
      </c>
      <c r="D28">
        <v>2.64</v>
      </c>
      <c r="E28" t="s">
        <v>27</v>
      </c>
      <c r="F28" t="s">
        <v>5</v>
      </c>
      <c r="G28" t="s">
        <v>28</v>
      </c>
      <c r="H28" t="s">
        <v>30</v>
      </c>
    </row>
    <row r="29" spans="1:8" x14ac:dyDescent="0.25">
      <c r="A29" t="s">
        <v>34</v>
      </c>
      <c r="C29" t="s">
        <v>35</v>
      </c>
      <c r="D29">
        <v>1.31</v>
      </c>
      <c r="E29" t="s">
        <v>36</v>
      </c>
      <c r="F29" t="s">
        <v>5</v>
      </c>
      <c r="G29" t="s">
        <v>12</v>
      </c>
      <c r="H29" t="s">
        <v>37</v>
      </c>
    </row>
    <row r="30" spans="1:8" x14ac:dyDescent="0.25">
      <c r="A30" t="s">
        <v>43</v>
      </c>
      <c r="C30" s="4" t="s">
        <v>44</v>
      </c>
      <c r="D30">
        <v>3.31</v>
      </c>
      <c r="E30" t="s">
        <v>13</v>
      </c>
      <c r="F30" t="s">
        <v>5</v>
      </c>
      <c r="G30" t="s">
        <v>14</v>
      </c>
      <c r="H30" t="s">
        <v>45</v>
      </c>
    </row>
    <row r="31" spans="1:8" x14ac:dyDescent="0.25">
      <c r="A31" t="s">
        <v>46</v>
      </c>
      <c r="C31" t="s">
        <v>47</v>
      </c>
      <c r="D31" s="5">
        <v>0.32</v>
      </c>
      <c r="E31" t="s">
        <v>48</v>
      </c>
      <c r="F31" s="5" t="s">
        <v>5</v>
      </c>
      <c r="G31" s="5" t="s">
        <v>60</v>
      </c>
      <c r="H31" t="s">
        <v>49</v>
      </c>
    </row>
    <row r="32" spans="1:8" x14ac:dyDescent="0.25">
      <c r="A32" s="6" t="s">
        <v>58</v>
      </c>
      <c r="C32" t="s">
        <v>57</v>
      </c>
      <c r="D32" s="5">
        <v>0.76</v>
      </c>
      <c r="E32" t="s">
        <v>50</v>
      </c>
      <c r="F32" s="5" t="s">
        <v>5</v>
      </c>
      <c r="G32" s="5" t="s">
        <v>51</v>
      </c>
      <c r="H32" t="s">
        <v>59</v>
      </c>
    </row>
    <row r="33" spans="1:8" x14ac:dyDescent="0.25">
      <c r="A33" s="6" t="s">
        <v>52</v>
      </c>
      <c r="C33" t="s">
        <v>53</v>
      </c>
      <c r="D33" s="5">
        <v>0.61</v>
      </c>
      <c r="E33" t="s">
        <v>54</v>
      </c>
      <c r="F33" s="5" t="s">
        <v>5</v>
      </c>
      <c r="G33" s="5" t="s">
        <v>55</v>
      </c>
      <c r="H33" t="s">
        <v>56</v>
      </c>
    </row>
    <row r="34" spans="1:8" x14ac:dyDescent="0.25">
      <c r="A34" t="s">
        <v>84</v>
      </c>
      <c r="C34" t="s">
        <v>85</v>
      </c>
      <c r="D34">
        <v>2.4</v>
      </c>
      <c r="E34" t="s">
        <v>86</v>
      </c>
      <c r="F34" s="5" t="s">
        <v>5</v>
      </c>
      <c r="H34" t="s">
        <v>87</v>
      </c>
    </row>
    <row r="35" spans="1:8" x14ac:dyDescent="0.25">
      <c r="A35" t="s">
        <v>88</v>
      </c>
      <c r="C35" t="s">
        <v>89</v>
      </c>
      <c r="D35">
        <v>2.4</v>
      </c>
      <c r="E35" t="s">
        <v>86</v>
      </c>
      <c r="F35" s="5" t="s">
        <v>5</v>
      </c>
      <c r="H35" t="s">
        <v>90</v>
      </c>
    </row>
    <row r="36" spans="1:8" x14ac:dyDescent="0.25">
      <c r="A36" t="s">
        <v>91</v>
      </c>
      <c r="C36" t="s">
        <v>92</v>
      </c>
      <c r="D36">
        <v>1.25</v>
      </c>
      <c r="E36" t="s">
        <v>93</v>
      </c>
      <c r="F36" s="5" t="s">
        <v>5</v>
      </c>
      <c r="H36" t="s">
        <v>94</v>
      </c>
    </row>
    <row r="37" spans="1:8" x14ac:dyDescent="0.25">
      <c r="A37" t="s">
        <v>95</v>
      </c>
      <c r="C37" t="s">
        <v>96</v>
      </c>
      <c r="D37">
        <f>12*1.07</f>
        <v>12.84</v>
      </c>
      <c r="E37" t="s">
        <v>97</v>
      </c>
      <c r="F37" s="5" t="s">
        <v>5</v>
      </c>
      <c r="G37" t="s">
        <v>98</v>
      </c>
      <c r="H37" t="s">
        <v>99</v>
      </c>
    </row>
    <row r="38" spans="1:8" x14ac:dyDescent="0.25">
      <c r="A38" t="s">
        <v>38</v>
      </c>
      <c r="C38" t="s">
        <v>39</v>
      </c>
      <c r="D38" s="5">
        <v>0.49</v>
      </c>
      <c r="E38" t="s">
        <v>40</v>
      </c>
      <c r="F38" s="5" t="s">
        <v>5</v>
      </c>
      <c r="G38" s="5" t="s">
        <v>41</v>
      </c>
      <c r="H38" t="s">
        <v>42</v>
      </c>
    </row>
    <row r="39" spans="1:8" ht="15.75" x14ac:dyDescent="0.25">
      <c r="A39" s="2" t="s">
        <v>31</v>
      </c>
      <c r="C39" s="3" t="s">
        <v>32</v>
      </c>
      <c r="D39">
        <v>0.59</v>
      </c>
      <c r="E39" t="s">
        <v>11</v>
      </c>
      <c r="F39" t="s">
        <v>5</v>
      </c>
      <c r="G39" t="s">
        <v>29</v>
      </c>
      <c r="H39" t="s">
        <v>33</v>
      </c>
    </row>
  </sheetData>
  <hyperlinks>
    <hyperlink ref="H12" r:id="rId1" display="https://www.mcmaster.com/91292A135/" xr:uid="{7334EC75-6342-445C-A96C-06808F2CD055}"/>
    <hyperlink ref="H13" r:id="rId2" display="https://www.mcmaster.com/9657K547/" xr:uid="{CF716678-12FD-44AF-BCFB-45EC9E0D80D5}"/>
    <hyperlink ref="H14" r:id="rId3" display="https://www.mcmaster.com/91287A264/" xr:uid="{19C2BF17-27EB-4E22-B80E-0C63CEC75758}"/>
    <hyperlink ref="H15" r:id="rId4" display="https://www.mcmaster.com/91828A251/" xr:uid="{C9D0A798-D251-4109-94EE-B6185DA4383D}"/>
    <hyperlink ref="H16" r:id="rId5" display="https://www.mcmaster.com/95211A160/" xr:uid="{8FBD35C9-F5A9-4915-9961-92782CE2FF82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2C9B9-9062-E94D-AEB2-383928DA387D}">
  <dimension ref="A1:A5"/>
  <sheetViews>
    <sheetView workbookViewId="0">
      <selection activeCell="A6" sqref="A6"/>
    </sheetView>
  </sheetViews>
  <sheetFormatPr defaultColWidth="11.42578125" defaultRowHeight="15" x14ac:dyDescent="0.25"/>
  <cols>
    <col min="1" max="1" width="27.85546875" customWidth="1"/>
  </cols>
  <sheetData>
    <row r="1" spans="1:1" x14ac:dyDescent="0.25">
      <c r="A1" t="s">
        <v>6</v>
      </c>
    </row>
    <row r="2" spans="1:1" x14ac:dyDescent="0.25">
      <c r="A2" t="s">
        <v>7</v>
      </c>
    </row>
    <row r="3" spans="1:1" x14ac:dyDescent="0.25">
      <c r="A3" t="s">
        <v>8</v>
      </c>
    </row>
    <row r="4" spans="1:1" x14ac:dyDescent="0.25">
      <c r="A4" t="s">
        <v>9</v>
      </c>
    </row>
    <row r="5" spans="1:1" x14ac:dyDescent="0.25">
      <c r="A5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Elliott Heath</dc:creator>
  <cp:lastModifiedBy>John Elliott Heath</cp:lastModifiedBy>
  <dcterms:created xsi:type="dcterms:W3CDTF">2025-12-24T00:07:21Z</dcterms:created>
  <dcterms:modified xsi:type="dcterms:W3CDTF">2026-01-29T03:54:50Z</dcterms:modified>
</cp:coreProperties>
</file>